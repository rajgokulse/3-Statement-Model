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ang\Downloads\"/>
    </mc:Choice>
  </mc:AlternateContent>
  <xr:revisionPtr revIDLastSave="0" documentId="13_ncr:1_{7EE472D5-E320-4371-AF23-083BA3705338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ASSUMPTIONS" sheetId="1" r:id="rId1"/>
    <sheet name="Income Statement" sheetId="2" r:id="rId2"/>
    <sheet name="Balance sheet" sheetId="3" r:id="rId3"/>
    <sheet name="Cashflow Statement" sheetId="4" r:id="rId4"/>
    <sheet name="PP&amp;E Schedule" sheetId="5" r:id="rId5"/>
    <sheet name="Debt Schedule" sheetId="6" r:id="rId6"/>
    <sheet name="Working Capital Schedule" sheetId="7" r:id="rId7"/>
    <sheet name="Financial rat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8" l="1"/>
  <c r="C15" i="8"/>
  <c r="D15" i="8"/>
  <c r="E15" i="8"/>
  <c r="F15" i="8"/>
  <c r="C21" i="8"/>
  <c r="D21" i="8"/>
  <c r="E21" i="8"/>
  <c r="F21" i="8"/>
  <c r="B21" i="8"/>
  <c r="F20" i="8"/>
  <c r="C20" i="8"/>
  <c r="D20" i="8"/>
  <c r="E20" i="8"/>
  <c r="B20" i="8"/>
  <c r="C16" i="8"/>
  <c r="D16" i="8"/>
  <c r="E16" i="8"/>
  <c r="F16" i="8"/>
  <c r="B16" i="8"/>
  <c r="M14" i="7"/>
  <c r="L14" i="7"/>
  <c r="K14" i="7"/>
  <c r="J14" i="7"/>
  <c r="I14" i="7"/>
  <c r="M8" i="7"/>
  <c r="L8" i="7"/>
  <c r="K8" i="7"/>
  <c r="J8" i="7"/>
  <c r="I8" i="7"/>
  <c r="I16" i="7" s="1"/>
  <c r="E3" i="7"/>
  <c r="E9" i="7" s="1"/>
  <c r="F2" i="7"/>
  <c r="E2" i="7"/>
  <c r="D2" i="7"/>
  <c r="C2" i="7"/>
  <c r="B2" i="7"/>
  <c r="G6" i="6"/>
  <c r="E6" i="6"/>
  <c r="E5" i="6"/>
  <c r="G5" i="6" s="1"/>
  <c r="G4" i="6"/>
  <c r="E4" i="6"/>
  <c r="E3" i="6"/>
  <c r="G3" i="6" s="1"/>
  <c r="E2" i="6"/>
  <c r="G2" i="6" s="1"/>
  <c r="G26" i="5"/>
  <c r="C26" i="5"/>
  <c r="J25" i="5"/>
  <c r="F25" i="5"/>
  <c r="F24" i="5"/>
  <c r="J24" i="5" s="1"/>
  <c r="J23" i="5"/>
  <c r="F23" i="5"/>
  <c r="F22" i="5"/>
  <c r="J22" i="5" s="1"/>
  <c r="J21" i="5"/>
  <c r="F20" i="5"/>
  <c r="J20" i="5" s="1"/>
  <c r="J19" i="5"/>
  <c r="F19" i="5"/>
  <c r="J18" i="5"/>
  <c r="F18" i="5"/>
  <c r="F17" i="5"/>
  <c r="J17" i="5" s="1"/>
  <c r="J16" i="5"/>
  <c r="F15" i="5"/>
  <c r="J15" i="5" s="1"/>
  <c r="F14" i="5"/>
  <c r="J14" i="5" s="1"/>
  <c r="F13" i="5"/>
  <c r="J13" i="5" s="1"/>
  <c r="J12" i="5"/>
  <c r="F12" i="5"/>
  <c r="J11" i="5"/>
  <c r="F10" i="5"/>
  <c r="J10" i="5" s="1"/>
  <c r="F9" i="5"/>
  <c r="J9" i="5" s="1"/>
  <c r="F8" i="5"/>
  <c r="J8" i="5" s="1"/>
  <c r="F7" i="5"/>
  <c r="J7" i="5" s="1"/>
  <c r="J6" i="5"/>
  <c r="J5" i="5"/>
  <c r="J4" i="5"/>
  <c r="F4" i="5"/>
  <c r="F3" i="5"/>
  <c r="J3" i="5" s="1"/>
  <c r="F2" i="5"/>
  <c r="J2" i="5" s="1"/>
  <c r="G32" i="4"/>
  <c r="F32" i="4"/>
  <c r="E32" i="4"/>
  <c r="D32" i="4"/>
  <c r="C32" i="4"/>
  <c r="G25" i="4"/>
  <c r="F25" i="4"/>
  <c r="E25" i="4"/>
  <c r="D25" i="4"/>
  <c r="C25" i="4"/>
  <c r="G18" i="4"/>
  <c r="G34" i="4" s="1"/>
  <c r="F18" i="4"/>
  <c r="F34" i="4" s="1"/>
  <c r="G16" i="4"/>
  <c r="F16" i="4"/>
  <c r="G11" i="4"/>
  <c r="F11" i="4"/>
  <c r="E11" i="4"/>
  <c r="E16" i="4" s="1"/>
  <c r="E18" i="4" s="1"/>
  <c r="E34" i="4" s="1"/>
  <c r="D11" i="4"/>
  <c r="D16" i="4" s="1"/>
  <c r="D18" i="4" s="1"/>
  <c r="D34" i="4" s="1"/>
  <c r="C11" i="4"/>
  <c r="C16" i="4" s="1"/>
  <c r="C18" i="4" s="1"/>
  <c r="C34" i="4" s="1"/>
  <c r="N6" i="4"/>
  <c r="M6" i="4"/>
  <c r="L6" i="4"/>
  <c r="K6" i="4"/>
  <c r="J6" i="4"/>
  <c r="F45" i="3"/>
  <c r="E45" i="3"/>
  <c r="D45" i="3"/>
  <c r="C45" i="3"/>
  <c r="C47" i="3" s="1"/>
  <c r="B45" i="3"/>
  <c r="F37" i="3"/>
  <c r="E37" i="3"/>
  <c r="D37" i="3"/>
  <c r="C37" i="3"/>
  <c r="B37" i="3"/>
  <c r="F23" i="3"/>
  <c r="E23" i="3"/>
  <c r="D23" i="3"/>
  <c r="C23" i="3"/>
  <c r="C25" i="3" s="1"/>
  <c r="B23" i="3"/>
  <c r="B25" i="3" s="1"/>
  <c r="F17" i="3"/>
  <c r="E17" i="3"/>
  <c r="D17" i="3"/>
  <c r="C17" i="3"/>
  <c r="B17" i="3"/>
  <c r="F8" i="3"/>
  <c r="E8" i="3"/>
  <c r="D8" i="3"/>
  <c r="C8" i="3"/>
  <c r="B8" i="3"/>
  <c r="C46" i="2"/>
  <c r="G33" i="2"/>
  <c r="F33" i="2"/>
  <c r="E33" i="2"/>
  <c r="D33" i="2"/>
  <c r="C33" i="2"/>
  <c r="G28" i="2"/>
  <c r="F28" i="2"/>
  <c r="E28" i="2"/>
  <c r="D28" i="2"/>
  <c r="C28" i="2"/>
  <c r="G21" i="2"/>
  <c r="F21" i="2"/>
  <c r="E21" i="2"/>
  <c r="D21" i="2"/>
  <c r="C21" i="2"/>
  <c r="G13" i="2"/>
  <c r="F2" i="8" s="1"/>
  <c r="F13" i="2"/>
  <c r="E2" i="8" s="1"/>
  <c r="E13" i="2"/>
  <c r="D3" i="7" s="1"/>
  <c r="D9" i="7" s="1"/>
  <c r="D13" i="2"/>
  <c r="C10" i="7" s="1"/>
  <c r="C13" i="2"/>
  <c r="B10" i="7" s="1"/>
  <c r="G7" i="2"/>
  <c r="G15" i="2" s="1"/>
  <c r="G23" i="2" s="1"/>
  <c r="F7" i="2"/>
  <c r="E7" i="2"/>
  <c r="D7" i="2"/>
  <c r="C7" i="2"/>
  <c r="D23" i="1"/>
  <c r="E23" i="1" s="1"/>
  <c r="D22" i="1"/>
  <c r="E22" i="1" s="1"/>
  <c r="D21" i="1"/>
  <c r="E21" i="1" s="1"/>
  <c r="E20" i="1"/>
  <c r="D20" i="1"/>
  <c r="D19" i="1"/>
  <c r="E19" i="1" s="1"/>
  <c r="D15" i="1"/>
  <c r="E15" i="1" s="1"/>
  <c r="F15" i="1" s="1"/>
  <c r="D14" i="1"/>
  <c r="E14" i="1" s="1"/>
  <c r="F14" i="1" s="1"/>
  <c r="E13" i="1"/>
  <c r="F13" i="1" s="1"/>
  <c r="D13" i="1"/>
  <c r="D12" i="1"/>
  <c r="E12" i="1" s="1"/>
  <c r="F12" i="1" s="1"/>
  <c r="D11" i="1"/>
  <c r="E11" i="1" s="1"/>
  <c r="F11" i="1" s="1"/>
  <c r="D7" i="1"/>
  <c r="D6" i="1"/>
  <c r="D5" i="1"/>
  <c r="C4" i="1"/>
  <c r="D4" i="1" s="1"/>
  <c r="D3" i="1"/>
  <c r="C3" i="1"/>
  <c r="J16" i="7" l="1"/>
  <c r="K16" i="7"/>
  <c r="M16" i="7"/>
  <c r="L16" i="7"/>
  <c r="B26" i="3"/>
  <c r="C26" i="3"/>
  <c r="F47" i="3"/>
  <c r="D25" i="3"/>
  <c r="D26" i="3"/>
  <c r="E25" i="3"/>
  <c r="E26" i="3" s="1"/>
  <c r="F25" i="3"/>
  <c r="D47" i="3"/>
  <c r="D10" i="8" s="1"/>
  <c r="E47" i="3"/>
  <c r="E10" i="8" s="1"/>
  <c r="B47" i="3"/>
  <c r="F15" i="2"/>
  <c r="F23" i="2" s="1"/>
  <c r="E35" i="2"/>
  <c r="E38" i="2" s="1"/>
  <c r="D9" i="8" s="1"/>
  <c r="D15" i="2"/>
  <c r="D23" i="2" s="1"/>
  <c r="C11" i="8" s="1"/>
  <c r="F35" i="2"/>
  <c r="F38" i="2" s="1"/>
  <c r="K6" i="3" s="1"/>
  <c r="N6" i="3" s="1"/>
  <c r="E15" i="2"/>
  <c r="E23" i="2" s="1"/>
  <c r="F4" i="7"/>
  <c r="C35" i="2"/>
  <c r="C38" i="2" s="1"/>
  <c r="B4" i="8" s="1"/>
  <c r="D35" i="2"/>
  <c r="D38" i="2" s="1"/>
  <c r="C9" i="8" s="1"/>
  <c r="G35" i="2"/>
  <c r="G38" i="2" s="1"/>
  <c r="F4" i="8" s="1"/>
  <c r="F26" i="3"/>
  <c r="E3" i="8"/>
  <c r="F11" i="8"/>
  <c r="F3" i="8"/>
  <c r="D3" i="8"/>
  <c r="B8" i="7"/>
  <c r="D10" i="7"/>
  <c r="E9" i="8"/>
  <c r="F3" i="7"/>
  <c r="F9" i="7" s="1"/>
  <c r="C8" i="7"/>
  <c r="E10" i="7"/>
  <c r="B4" i="7"/>
  <c r="D8" i="7"/>
  <c r="F10" i="7"/>
  <c r="C4" i="7"/>
  <c r="E8" i="7"/>
  <c r="D4" i="7"/>
  <c r="D5" i="7" s="1"/>
  <c r="F8" i="7"/>
  <c r="E4" i="7"/>
  <c r="E5" i="7" s="1"/>
  <c r="B2" i="8"/>
  <c r="D4" i="8"/>
  <c r="C2" i="8"/>
  <c r="D2" i="8"/>
  <c r="C15" i="2"/>
  <c r="C23" i="2" s="1"/>
  <c r="B3" i="7"/>
  <c r="B9" i="7" s="1"/>
  <c r="C3" i="7"/>
  <c r="C9" i="7" s="1"/>
  <c r="K5" i="3"/>
  <c r="N5" i="3" s="1"/>
  <c r="D11" i="8" l="1"/>
  <c r="E11" i="8"/>
  <c r="E4" i="8"/>
  <c r="B5" i="7"/>
  <c r="K7" i="3"/>
  <c r="N7" i="3" s="1"/>
  <c r="K4" i="3"/>
  <c r="N4" i="3" s="1"/>
  <c r="K3" i="3"/>
  <c r="N3" i="3" s="1"/>
  <c r="C10" i="8"/>
  <c r="C4" i="8"/>
  <c r="B10" i="8"/>
  <c r="B9" i="8"/>
  <c r="C3" i="8"/>
  <c r="F10" i="8"/>
  <c r="F9" i="8"/>
  <c r="B3" i="8"/>
  <c r="B11" i="8"/>
  <c r="C5" i="7"/>
  <c r="F5" i="7"/>
</calcChain>
</file>

<file path=xl/sharedStrings.xml><?xml version="1.0" encoding="utf-8"?>
<sst xmlns="http://schemas.openxmlformats.org/spreadsheetml/2006/main" count="402" uniqueCount="223">
  <si>
    <t>Revenue Assumptions</t>
  </si>
  <si>
    <t>Fiscal Year</t>
  </si>
  <si>
    <t>Total Revenue (₹ Cr)</t>
  </si>
  <si>
    <t>YoY Growth %</t>
  </si>
  <si>
    <t>Growth Rate Method</t>
  </si>
  <si>
    <t>Context/Drivers</t>
  </si>
  <si>
    <t>2020-21 (A)</t>
  </si>
  <si>
    <t>Initial recovery phase post-COVID lockdowns.</t>
  </si>
  <si>
    <t>2021-22 (A)</t>
  </si>
  <si>
    <t>Record-high global steel prices and strong demand.</t>
  </si>
  <si>
    <t>2022-23 (A)</t>
  </si>
  <si>
    <t>Price correction and rising energy costs in Europe.</t>
  </si>
  <si>
    <t>2023-24 (A)</t>
  </si>
  <si>
    <t>Global slowdown and margin pressure in UK/Netherlands.</t>
  </si>
  <si>
    <t>2024-25 (A)</t>
  </si>
  <si>
    <t>Decommissioning of UK blast furnaces; focus on India growth.</t>
  </si>
  <si>
    <t>Cost Structure Assumptions</t>
  </si>
  <si>
    <t>COGS</t>
  </si>
  <si>
    <t>Gross Margin</t>
  </si>
  <si>
    <t xml:space="preserve">Projected Gross Profit </t>
  </si>
  <si>
    <t>Projected COGS</t>
  </si>
  <si>
    <t>COGS % of Revenue</t>
  </si>
  <si>
    <t>COGS % FORECAST</t>
  </si>
  <si>
    <t xml:space="preserve">: COGS % of Revenue(Cost-Focused) </t>
  </si>
  <si>
    <t>Particulars</t>
  </si>
  <si>
    <t>FY21</t>
  </si>
  <si>
    <t>FY22</t>
  </si>
  <si>
    <t>FY23</t>
  </si>
  <si>
    <t>FY24</t>
  </si>
  <si>
    <t>FY25 (Est)</t>
  </si>
  <si>
    <t>I. REVENUE</t>
  </si>
  <si>
    <t>Revenue from Operations</t>
  </si>
  <si>
    <t>Other Income</t>
  </si>
  <si>
    <t>Total Revenue (A)</t>
  </si>
  <si>
    <t>II. COST OF GOODS SOLD (COGS)</t>
  </si>
  <si>
    <t>Materials Consumed</t>
  </si>
  <si>
    <t>Purchases of Stock-in-Trade</t>
  </si>
  <si>
    <t>Change in Inventory (FG &amp; WIP)</t>
  </si>
  <si>
    <t>Total COGS (B)</t>
  </si>
  <si>
    <t>III. GROSS PROFIT (A - B)</t>
  </si>
  <si>
    <t>IV. OPERATING EXPENSES</t>
  </si>
  <si>
    <t>Employee Benefit Expense</t>
  </si>
  <si>
    <t>Depreciation &amp; Amortization</t>
  </si>
  <si>
    <t>Other Operating Expenses</t>
  </si>
  <si>
    <t>Total Operating Exp. (D)</t>
  </si>
  <si>
    <t>V. OPERATING PROFIT (EBIT)</t>
  </si>
  <si>
    <t>Finance Costs (Interest)</t>
  </si>
  <si>
    <t>Profit/Loss before Exceptional Items</t>
  </si>
  <si>
    <t>Exceptional Items</t>
  </si>
  <si>
    <t>VI. PROFIT BEFORE TAX (PBT)</t>
  </si>
  <si>
    <t>VII. TAX EXPENSE</t>
  </si>
  <si>
    <t>Current Tax</t>
  </si>
  <si>
    <t>Deferred Tax</t>
  </si>
  <si>
    <t>Total Tax Expense</t>
  </si>
  <si>
    <t>VIII. PROFIT AFTER TAX (PAT)</t>
  </si>
  <si>
    <t>IX. OTHER COMPREHENSIVE INC. (OCI)</t>
  </si>
  <si>
    <t>Net Profit</t>
  </si>
  <si>
    <t>Metric</t>
  </si>
  <si>
    <t>Value</t>
  </si>
  <si>
    <t>Data Source / Description</t>
  </si>
  <si>
    <t>Risk-Free Rate ($R_f$)</t>
  </si>
  <si>
    <t>Based on the current yield of the India 10-Year Government Bond (G-Sec).</t>
  </si>
  <si>
    <t>Market Return ($R_m$)</t>
  </si>
  <si>
    <t>Estimated based on the long-term historical CAGR of the Nifty 50 (approx. 12–15%).</t>
  </si>
  <si>
    <t>Beta ($\beta$)</t>
  </si>
  <si>
    <t>Reported volatility relative to the Nifty 50; indicates the stock is more volatile than the market.</t>
  </si>
  <si>
    <t>Effective Tax Rate</t>
  </si>
  <si>
    <t>Latest consolidated effective tax rate for the Indian operations (FY 2024-25).</t>
  </si>
  <si>
    <t>Cost of Equity ($K_e$)</t>
  </si>
  <si>
    <t>K_e = R_f + \beta \times (R_m - R_f)</t>
  </si>
  <si>
    <t>FY 2020-21</t>
  </si>
  <si>
    <t>FY 2021-22</t>
  </si>
  <si>
    <t>FY 2022-23</t>
  </si>
  <si>
    <t>FY 2023-24</t>
  </si>
  <si>
    <t>FY 2024-25</t>
  </si>
  <si>
    <t>EQUITY AND LIABILITIES</t>
  </si>
  <si>
    <t>Equity Share Capital</t>
  </si>
  <si>
    <t>Other Equity (Attr. to owners)</t>
  </si>
  <si>
    <t>Non-controlling Interests</t>
  </si>
  <si>
    <t>Total Equity</t>
  </si>
  <si>
    <t>Non-Current Liabilities</t>
  </si>
  <si>
    <t>Financial Liabilities — Borrowings</t>
  </si>
  <si>
    <t>Lease Liabilities</t>
  </si>
  <si>
    <t>Other Financial Liabilities</t>
  </si>
  <si>
    <t>Provisions &amp; RBO</t>
  </si>
  <si>
    <t>Deferred Tax Liabilities (Net)</t>
  </si>
  <si>
    <t>Other Non-Current Liabilities</t>
  </si>
  <si>
    <t>Total Non-Current Liabilities</t>
  </si>
  <si>
    <t>Current Liabilities</t>
  </si>
  <si>
    <t>Trade Payables (MSME + Others)</t>
  </si>
  <si>
    <t>Other Financial &amp; Current Liab.</t>
  </si>
  <si>
    <t>Total Current Liabilities</t>
  </si>
  <si>
    <t>Total Liabilities</t>
  </si>
  <si>
    <t>Total Liabilities + Equity</t>
  </si>
  <si>
    <t>ASSETS</t>
  </si>
  <si>
    <t>Non-Current Assets</t>
  </si>
  <si>
    <t>Property, Plant &amp; Equipment</t>
  </si>
  <si>
    <t>Capital Work-in-Progress</t>
  </si>
  <si>
    <t>Right-of-Use Assets</t>
  </si>
  <si>
    <t>Goodwill</t>
  </si>
  <si>
    <t>Other Intangible Assets</t>
  </si>
  <si>
    <t>Financial Assets (Investments)</t>
  </si>
  <si>
    <t>Other Non-Current Assets</t>
  </si>
  <si>
    <t>Total Non-Current Assets</t>
  </si>
  <si>
    <t>Current Assets</t>
  </si>
  <si>
    <t>Inventories</t>
  </si>
  <si>
    <t>Trade Receivables</t>
  </si>
  <si>
    <t>Cash &amp; Cash Equivalents</t>
  </si>
  <si>
    <t>Other Bank Balances</t>
  </si>
  <si>
    <t>Other Current Assets</t>
  </si>
  <si>
    <t>Total Current Assets</t>
  </si>
  <si>
    <t>Total Assets</t>
  </si>
  <si>
    <t xml:space="preserve">— Retained Earnings </t>
  </si>
  <si>
    <t>Financial Year</t>
  </si>
  <si>
    <t>Opening Balance</t>
  </si>
  <si>
    <t>Net Profit (PAT)</t>
  </si>
  <si>
    <t>Dividends Paid*</t>
  </si>
  <si>
    <t>Others/Adj.</t>
  </si>
  <si>
    <t>Closing Balance</t>
  </si>
  <si>
    <t>2020–21 (FY21)</t>
  </si>
  <si>
    <t>2021–22 (FY22)</t>
  </si>
  <si>
    <t>2022–23 (FY23)</t>
  </si>
  <si>
    <t>2023–24 (FY24)</t>
  </si>
  <si>
    <t>2024–25 (FY25)</t>
  </si>
  <si>
    <t>Note</t>
  </si>
  <si>
    <t>FY 2024-25 (A)</t>
  </si>
  <si>
    <t>FY 2023-24 (A)</t>
  </si>
  <si>
    <t>Cash Flow from Operating Activities</t>
  </si>
  <si>
    <t/>
  </si>
  <si>
    <t xml:space="preserve"> Operating cashflow</t>
  </si>
  <si>
    <t>Net Profit before taxes (incl. Exceptional)</t>
  </si>
  <si>
    <t>Capex</t>
  </si>
  <si>
    <t>Adjustments for:</t>
  </si>
  <si>
    <t>* Depreciation and Amortisation</t>
  </si>
  <si>
    <t>* Interest Expense / Finance Costs</t>
  </si>
  <si>
    <t>* Interest / Dividend Income</t>
  </si>
  <si>
    <t>* Other Non-Cash Items / Provisions</t>
  </si>
  <si>
    <t>Operating Profit before Working Capital</t>
  </si>
  <si>
    <t>Adjustments for Working Capital:</t>
  </si>
  <si>
    <t>* (Inc)/Dec in Trade Receivables</t>
  </si>
  <si>
    <t>* (Inc)/Dec in Inventories</t>
  </si>
  <si>
    <t>* Inc/(Dec) in Trade Payables</t>
  </si>
  <si>
    <t>Cash Generated from Operations</t>
  </si>
  <si>
    <t>Less: Income Tax Paid</t>
  </si>
  <si>
    <t>Net Cash from Operating Activities (A)</t>
  </si>
  <si>
    <t>---</t>
  </si>
  <si>
    <t>Cash Flow from Investing Activities</t>
  </si>
  <si>
    <t>Purchase of Fixed Assets (CapEx)</t>
  </si>
  <si>
    <t>Sale of Fixed Assets / Investments</t>
  </si>
  <si>
    <t>Interest &amp; Dividend Received</t>
  </si>
  <si>
    <t>Other Investing Items (Net)</t>
  </si>
  <si>
    <t>-</t>
  </si>
  <si>
    <t>Net Cash from Investing Activities (B)</t>
  </si>
  <si>
    <t>Cash Flow from Financing Activities</t>
  </si>
  <si>
    <t>Proceeds from Issue of Shares / NCDs</t>
  </si>
  <si>
    <t>Net Borrowings / (Repayment)</t>
  </si>
  <si>
    <t>Dividend Paid</t>
  </si>
  <si>
    <t>Interest Paid</t>
  </si>
  <si>
    <t>Net Cash from Financing Activities (C)</t>
  </si>
  <si>
    <t>Net Increase/Decrease in Cash (A+B+C)</t>
  </si>
  <si>
    <t>Add: Opening Cash &amp; Equivalents</t>
  </si>
  <si>
    <t>Adjustments/Exchange Diff.</t>
  </si>
  <si>
    <t>Closing Cash &amp; Cash Equivalents</t>
  </si>
  <si>
    <t>Rs(2024-25)</t>
  </si>
  <si>
    <t>Average Inventory</t>
  </si>
  <si>
    <t>Asset ID</t>
  </si>
  <si>
    <t>Description</t>
  </si>
  <si>
    <t>Cost (Opening)</t>
  </si>
  <si>
    <t>Additions</t>
  </si>
  <si>
    <t>Disposals/ Adj</t>
  </si>
  <si>
    <t>Cost (Closing)</t>
  </si>
  <si>
    <t>Accum. Dep (Opening)</t>
  </si>
  <si>
    <t>Depreciation(Salvage value)</t>
  </si>
  <si>
    <t>Accum. Dep (Closing)</t>
  </si>
  <si>
    <t>Net Book Value (NBV)</t>
  </si>
  <si>
    <t>Useful Life (Years)</t>
  </si>
  <si>
    <t>Total PP&amp;E</t>
  </si>
  <si>
    <t>--</t>
  </si>
  <si>
    <t>AST-01</t>
  </si>
  <si>
    <t>Land &amp; Buildings</t>
  </si>
  <si>
    <t>30–60</t>
  </si>
  <si>
    <t>AST-02</t>
  </si>
  <si>
    <t>Plant &amp; Mach.</t>
  </si>
  <si>
    <t>15–40</t>
  </si>
  <si>
    <t>AST-03</t>
  </si>
  <si>
    <t>Others (Misc)</t>
  </si>
  <si>
    <t>3–10</t>
  </si>
  <si>
    <t>New Loans (Proceeds)</t>
  </si>
  <si>
    <t>Repayments</t>
  </si>
  <si>
    <t>Interest % (Avg)</t>
  </si>
  <si>
    <t>Interest Expense</t>
  </si>
  <si>
    <t xml:space="preserve"> Cash Conversion Cycle (CCC)</t>
  </si>
  <si>
    <t>DSO (Days Sales Outstanding) = Accounts Receivable/(Revenue/Days)</t>
  </si>
  <si>
    <t>DIO (Days Inventory Outstanding)} = Inventory/(COGS/Days)</t>
  </si>
  <si>
    <t>DPO (Days Payables Outstanding)} = as calculated above</t>
  </si>
  <si>
    <t>CCC=DSO+DIO−DPO</t>
  </si>
  <si>
    <t>Assumption</t>
  </si>
  <si>
    <t>Inventory</t>
  </si>
  <si>
    <t>Trade Payables</t>
  </si>
  <si>
    <t>WC</t>
  </si>
  <si>
    <t>I. Margin Profitability</t>
  </si>
  <si>
    <t>Gross margin Revenue</t>
  </si>
  <si>
    <t>EBITDA Margin</t>
  </si>
  <si>
    <t>Net Margin</t>
  </si>
  <si>
    <t>II. Return Profitability</t>
  </si>
  <si>
    <t>1. Return on Equity (ROE)</t>
  </si>
  <si>
    <t>2. Return on Assets (ROA)</t>
  </si>
  <si>
    <t>3. Return on Capital Employed (ROCE)</t>
  </si>
  <si>
    <t>Column1</t>
  </si>
  <si>
    <t>Column2</t>
  </si>
  <si>
    <t>Column3</t>
  </si>
  <si>
    <t>Column4</t>
  </si>
  <si>
    <t>Column5</t>
  </si>
  <si>
    <t>Column6</t>
  </si>
  <si>
    <t>Column7</t>
  </si>
  <si>
    <t>Balance</t>
  </si>
  <si>
    <t xml:space="preserve">Integrated 3-Statement Financial Model </t>
  </si>
  <si>
    <t>1. Liquidity Ratios</t>
  </si>
  <si>
    <t>Current Ratio</t>
  </si>
  <si>
    <t>Quick Ratio</t>
  </si>
  <si>
    <t>2. Leverage &amp; Efficiency Ratios</t>
  </si>
  <si>
    <t>Debt-to-Equity Ratio (D/E)</t>
  </si>
  <si>
    <t>Inventory Turnover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</si>
</sst>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b/>
      <sz val="10"/>
      <color theme="1"/>
      <name val="&quot;Google Sans Text&quot;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rgb="FF1F1F1F"/>
      <name val="&quot;Google Sans Text&quot;"/>
    </font>
    <font>
      <b/>
      <sz val="11"/>
      <color rgb="FF242424"/>
      <name val="&quot;Aptos Narrow&quot;"/>
    </font>
    <font>
      <sz val="10"/>
      <color theme="1"/>
      <name val="&quot;Google Sans Text&quot;"/>
    </font>
    <font>
      <b/>
      <i/>
      <sz val="10"/>
      <color rgb="FF1F1F1F"/>
      <name val="&quot;Google Sans Text&quot;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383A3C"/>
      <name val="Roboto"/>
    </font>
    <font>
      <sz val="10"/>
      <color rgb="FF4C535E"/>
      <name val="Roboto"/>
    </font>
    <font>
      <sz val="10"/>
      <color rgb="FF363F32"/>
      <name val="Roboto"/>
    </font>
    <font>
      <sz val="10"/>
      <color rgb="FF444D5F"/>
      <name val="Roboto"/>
    </font>
    <font>
      <b/>
      <sz val="12"/>
      <color rgb="FF0A0A0A"/>
      <name val="&quot;Google Sans&quot;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b/>
      <sz val="15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4" fontId="2" fillId="0" borderId="0" xfId="0" applyNumberFormat="1" applyFont="1"/>
    <xf numFmtId="4" fontId="1" fillId="0" borderId="0" xfId="0" applyNumberFormat="1" applyFont="1"/>
    <xf numFmtId="10" fontId="8" fillId="0" borderId="0" xfId="0" applyNumberFormat="1" applyFont="1"/>
    <xf numFmtId="4" fontId="6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4" fontId="6" fillId="0" borderId="0" xfId="0" applyNumberFormat="1" applyFont="1"/>
    <xf numFmtId="4" fontId="9" fillId="0" borderId="0" xfId="0" applyNumberFormat="1" applyFont="1" applyAlignment="1">
      <alignment horizontal="right"/>
    </xf>
    <xf numFmtId="10" fontId="2" fillId="0" borderId="0" xfId="0" applyNumberFormat="1" applyFont="1"/>
    <xf numFmtId="4" fontId="5" fillId="0" borderId="0" xfId="0" applyNumberFormat="1" applyFont="1"/>
    <xf numFmtId="4" fontId="10" fillId="0" borderId="0" xfId="0" applyNumberFormat="1" applyFont="1"/>
    <xf numFmtId="4" fontId="3" fillId="0" borderId="0" xfId="0" applyNumberFormat="1" applyFont="1" applyAlignment="1">
      <alignment horizontal="right"/>
    </xf>
    <xf numFmtId="4" fontId="8" fillId="0" borderId="0" xfId="0" applyNumberFormat="1" applyFont="1"/>
    <xf numFmtId="4" fontId="11" fillId="0" borderId="0" xfId="0" applyNumberFormat="1" applyFont="1"/>
    <xf numFmtId="0" fontId="7" fillId="0" borderId="1" xfId="0" applyFont="1" applyBorder="1"/>
    <xf numFmtId="0" fontId="7" fillId="0" borderId="2" xfId="0" applyFont="1" applyBorder="1"/>
    <xf numFmtId="0" fontId="1" fillId="0" borderId="3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3" xfId="0" applyFont="1" applyBorder="1"/>
    <xf numFmtId="0" fontId="4" fillId="0" borderId="3" xfId="0" applyFont="1" applyBorder="1"/>
    <xf numFmtId="3" fontId="7" fillId="0" borderId="3" xfId="0" applyNumberFormat="1" applyFont="1" applyBorder="1"/>
    <xf numFmtId="0" fontId="7" fillId="0" borderId="3" xfId="0" applyFont="1" applyBorder="1"/>
    <xf numFmtId="3" fontId="6" fillId="0" borderId="3" xfId="0" applyNumberFormat="1" applyFont="1" applyBorder="1"/>
    <xf numFmtId="0" fontId="7" fillId="0" borderId="0" xfId="0" applyFont="1" applyAlignment="1">
      <alignment horizontal="right"/>
    </xf>
    <xf numFmtId="0" fontId="4" fillId="0" borderId="4" xfId="0" applyFont="1" applyBorder="1"/>
    <xf numFmtId="3" fontId="6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3" xfId="0" applyFont="1" applyBorder="1" applyAlignment="1">
      <alignment horizontal="right"/>
    </xf>
    <xf numFmtId="4" fontId="12" fillId="0" borderId="0" xfId="0" applyNumberFormat="1" applyFont="1" applyAlignment="1">
      <alignment horizontal="right" vertical="center"/>
    </xf>
    <xf numFmtId="4" fontId="12" fillId="2" borderId="0" xfId="0" applyNumberFormat="1" applyFont="1" applyFill="1" applyAlignment="1">
      <alignment vertical="center"/>
    </xf>
    <xf numFmtId="0" fontId="13" fillId="2" borderId="5" xfId="0" applyFont="1" applyFill="1" applyBorder="1" applyAlignment="1">
      <alignment horizontal="right" vertical="center"/>
    </xf>
    <xf numFmtId="4" fontId="13" fillId="2" borderId="5" xfId="0" applyNumberFormat="1" applyFont="1" applyFill="1" applyBorder="1" applyAlignment="1">
      <alignment vertical="center"/>
    </xf>
    <xf numFmtId="4" fontId="13" fillId="2" borderId="5" xfId="0" applyNumberFormat="1" applyFont="1" applyFill="1" applyBorder="1" applyAlignment="1">
      <alignment horizontal="right" vertical="center"/>
    </xf>
    <xf numFmtId="4" fontId="14" fillId="2" borderId="6" xfId="0" applyNumberFormat="1" applyFont="1" applyFill="1" applyBorder="1" applyAlignment="1">
      <alignment vertical="center"/>
    </xf>
    <xf numFmtId="0" fontId="10" fillId="0" borderId="0" xfId="0" applyFont="1"/>
    <xf numFmtId="4" fontId="12" fillId="3" borderId="0" xfId="0" applyNumberFormat="1" applyFont="1" applyFill="1" applyAlignment="1">
      <alignment vertical="center"/>
    </xf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vertical="center"/>
    </xf>
    <xf numFmtId="4" fontId="15" fillId="3" borderId="8" xfId="0" applyNumberFormat="1" applyFont="1" applyFill="1" applyBorder="1" applyAlignment="1">
      <alignment vertical="center"/>
    </xf>
    <xf numFmtId="4" fontId="16" fillId="2" borderId="6" xfId="0" applyNumberFormat="1" applyFont="1" applyFill="1" applyBorder="1" applyAlignment="1">
      <alignment vertical="center"/>
    </xf>
    <xf numFmtId="4" fontId="17" fillId="3" borderId="8" xfId="0" applyNumberFormat="1" applyFont="1" applyFill="1" applyBorder="1" applyAlignment="1">
      <alignment vertical="center"/>
    </xf>
    <xf numFmtId="4" fontId="14" fillId="3" borderId="8" xfId="0" applyNumberFormat="1" applyFont="1" applyFill="1" applyBorder="1" applyAlignment="1">
      <alignment vertical="center"/>
    </xf>
    <xf numFmtId="4" fontId="15" fillId="2" borderId="6" xfId="0" applyNumberFormat="1" applyFont="1" applyFill="1" applyBorder="1" applyAlignment="1">
      <alignment vertical="center"/>
    </xf>
    <xf numFmtId="4" fontId="16" fillId="3" borderId="8" xfId="0" applyNumberFormat="1" applyFont="1" applyFill="1" applyBorder="1" applyAlignment="1">
      <alignment vertical="center"/>
    </xf>
    <xf numFmtId="4" fontId="17" fillId="2" borderId="6" xfId="0" applyNumberFormat="1" applyFont="1" applyFill="1" applyBorder="1" applyAlignment="1">
      <alignment vertical="center"/>
    </xf>
    <xf numFmtId="0" fontId="12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4" fontId="13" fillId="3" borderId="9" xfId="0" applyNumberFormat="1" applyFont="1" applyFill="1" applyBorder="1" applyAlignment="1">
      <alignment vertical="center"/>
    </xf>
    <xf numFmtId="4" fontId="17" fillId="3" borderId="1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8" fillId="2" borderId="0" xfId="0" applyFont="1" applyFill="1" applyAlignment="1">
      <alignment wrapText="1"/>
    </xf>
    <xf numFmtId="0" fontId="18" fillId="2" borderId="0" xfId="0" applyFont="1" applyFill="1"/>
    <xf numFmtId="3" fontId="3" fillId="0" borderId="0" xfId="0" applyNumberFormat="1" applyFont="1"/>
    <xf numFmtId="3" fontId="2" fillId="0" borderId="0" xfId="0" applyNumberFormat="1" applyFont="1"/>
    <xf numFmtId="0" fontId="2" fillId="0" borderId="11" xfId="0" applyFont="1" applyBorder="1"/>
    <xf numFmtId="0" fontId="1" fillId="0" borderId="11" xfId="0" applyFont="1" applyBorder="1"/>
    <xf numFmtId="0" fontId="3" fillId="0" borderId="11" xfId="0" applyFont="1" applyBorder="1"/>
    <xf numFmtId="4" fontId="3" fillId="0" borderId="11" xfId="0" applyNumberFormat="1" applyFont="1" applyBorder="1"/>
    <xf numFmtId="0" fontId="4" fillId="0" borderId="11" xfId="0" applyFont="1" applyBorder="1"/>
    <xf numFmtId="10" fontId="3" fillId="0" borderId="11" xfId="0" applyNumberFormat="1" applyFont="1" applyBorder="1"/>
    <xf numFmtId="0" fontId="5" fillId="0" borderId="11" xfId="0" applyFont="1" applyBorder="1"/>
    <xf numFmtId="0" fontId="3" fillId="0" borderId="12" xfId="0" applyFont="1" applyBorder="1"/>
    <xf numFmtId="0" fontId="4" fillId="0" borderId="12" xfId="0" applyFont="1" applyBorder="1"/>
    <xf numFmtId="10" fontId="3" fillId="0" borderId="12" xfId="0" applyNumberFormat="1" applyFont="1" applyBorder="1"/>
    <xf numFmtId="0" fontId="3" fillId="0" borderId="13" xfId="0" applyFont="1" applyBorder="1"/>
    <xf numFmtId="4" fontId="4" fillId="0" borderId="14" xfId="0" applyNumberFormat="1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6" xfId="0" applyFont="1" applyBorder="1"/>
    <xf numFmtId="0" fontId="5" fillId="0" borderId="16" xfId="0" applyFont="1" applyBorder="1"/>
    <xf numFmtId="0" fontId="1" fillId="0" borderId="17" xfId="0" applyFont="1" applyBorder="1"/>
    <xf numFmtId="0" fontId="3" fillId="0" borderId="18" xfId="0" applyFont="1" applyBorder="1"/>
    <xf numFmtId="4" fontId="3" fillId="0" borderId="12" xfId="0" applyNumberFormat="1" applyFont="1" applyBorder="1"/>
    <xf numFmtId="0" fontId="4" fillId="0" borderId="19" xfId="0" applyFont="1" applyBorder="1"/>
    <xf numFmtId="0" fontId="6" fillId="0" borderId="20" xfId="0" applyFont="1" applyBorder="1"/>
    <xf numFmtId="0" fontId="7" fillId="0" borderId="20" xfId="0" applyFont="1" applyBorder="1"/>
    <xf numFmtId="0" fontId="6" fillId="0" borderId="21" xfId="0" applyFont="1" applyBorder="1"/>
    <xf numFmtId="3" fontId="7" fillId="0" borderId="21" xfId="0" applyNumberFormat="1" applyFont="1" applyBorder="1"/>
    <xf numFmtId="0" fontId="7" fillId="0" borderId="21" xfId="0" applyFont="1" applyBorder="1"/>
    <xf numFmtId="3" fontId="6" fillId="0" borderId="21" xfId="0" applyNumberFormat="1" applyFont="1" applyBorder="1"/>
    <xf numFmtId="0" fontId="6" fillId="0" borderId="22" xfId="0" applyFont="1" applyBorder="1" applyAlignment="1">
      <alignment horizontal="center"/>
    </xf>
    <xf numFmtId="0" fontId="1" fillId="0" borderId="23" xfId="0" applyFont="1" applyBorder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7" fillId="0" borderId="25" xfId="0" applyFont="1" applyBorder="1"/>
    <xf numFmtId="3" fontId="7" fillId="0" borderId="4" xfId="0" applyNumberFormat="1" applyFont="1" applyBorder="1"/>
    <xf numFmtId="3" fontId="7" fillId="0" borderId="26" xfId="0" applyNumberFormat="1" applyFont="1" applyBorder="1"/>
    <xf numFmtId="3" fontId="6" fillId="0" borderId="0" xfId="0" applyNumberFormat="1" applyFont="1"/>
    <xf numFmtId="164" fontId="4" fillId="0" borderId="0" xfId="1" applyNumberFormat="1" applyFont="1"/>
    <xf numFmtId="0" fontId="19" fillId="4" borderId="20" xfId="0" applyFont="1" applyFill="1" applyBorder="1"/>
    <xf numFmtId="0" fontId="19" fillId="4" borderId="20" xfId="0" applyFont="1" applyFill="1" applyBorder="1" applyAlignment="1">
      <alignment horizontal="center"/>
    </xf>
    <xf numFmtId="0" fontId="6" fillId="5" borderId="20" xfId="0" applyFont="1" applyFill="1" applyBorder="1"/>
    <xf numFmtId="0" fontId="6" fillId="5" borderId="2" xfId="0" applyFont="1" applyFill="1" applyBorder="1"/>
    <xf numFmtId="0" fontId="0" fillId="5" borderId="0" xfId="0" applyFill="1"/>
    <xf numFmtId="0" fontId="7" fillId="5" borderId="20" xfId="0" applyFont="1" applyFill="1" applyBorder="1"/>
    <xf numFmtId="0" fontId="7" fillId="5" borderId="25" xfId="0" applyFont="1" applyFill="1" applyBorder="1"/>
    <xf numFmtId="0" fontId="25" fillId="5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6" fillId="5" borderId="0" xfId="0" applyFont="1" applyFill="1"/>
    <xf numFmtId="0" fontId="23" fillId="0" borderId="11" xfId="0" applyFont="1" applyBorder="1"/>
    <xf numFmtId="164" fontId="23" fillId="0" borderId="11" xfId="1" applyNumberFormat="1" applyFont="1" applyBorder="1"/>
    <xf numFmtId="164" fontId="0" fillId="0" borderId="11" xfId="1" applyNumberFormat="1" applyFont="1" applyBorder="1"/>
    <xf numFmtId="0" fontId="4" fillId="7" borderId="0" xfId="0" applyFont="1" applyFill="1"/>
    <xf numFmtId="4" fontId="1" fillId="5" borderId="0" xfId="0" applyNumberFormat="1" applyFont="1" applyFill="1"/>
    <xf numFmtId="0" fontId="6" fillId="0" borderId="11" xfId="0" applyFont="1" applyBorder="1"/>
    <xf numFmtId="3" fontId="7" fillId="0" borderId="11" xfId="0" applyNumberFormat="1" applyFont="1" applyBorder="1"/>
    <xf numFmtId="0" fontId="20" fillId="0" borderId="11" xfId="0" applyFont="1" applyBorder="1"/>
    <xf numFmtId="0" fontId="1" fillId="6" borderId="27" xfId="0" applyFont="1" applyFill="1" applyBorder="1"/>
    <xf numFmtId="4" fontId="2" fillId="6" borderId="27" xfId="0" applyNumberFormat="1" applyFont="1" applyFill="1" applyBorder="1"/>
    <xf numFmtId="4" fontId="2" fillId="7" borderId="0" xfId="0" applyNumberFormat="1" applyFont="1" applyFill="1"/>
    <xf numFmtId="4" fontId="3" fillId="7" borderId="0" xfId="0" applyNumberFormat="1" applyFont="1" applyFill="1"/>
    <xf numFmtId="4" fontId="4" fillId="7" borderId="0" xfId="0" applyNumberFormat="1" applyFont="1" applyFill="1"/>
    <xf numFmtId="0" fontId="23" fillId="5" borderId="30" xfId="0" applyFont="1" applyFill="1" applyBorder="1"/>
    <xf numFmtId="0" fontId="0" fillId="5" borderId="28" xfId="0" applyFill="1" applyBorder="1"/>
    <xf numFmtId="0" fontId="23" fillId="5" borderId="29" xfId="0" applyFont="1" applyFill="1" applyBorder="1"/>
    <xf numFmtId="0" fontId="23" fillId="5" borderId="28" xfId="0" applyFont="1" applyFill="1" applyBorder="1"/>
    <xf numFmtId="0" fontId="22" fillId="0" borderId="0" xfId="0" applyFont="1"/>
    <xf numFmtId="0" fontId="0" fillId="0" borderId="0" xfId="0"/>
  </cellXfs>
  <cellStyles count="2">
    <cellStyle name="Normal" xfId="0" builtinId="0"/>
    <cellStyle name="Percent" xfId="1" builtinId="5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ill>
        <patternFill>
          <bgColor theme="0"/>
        </patternFill>
      </fill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ill>
        <patternFill>
          <bgColor theme="0"/>
        </patternFill>
      </fill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P&amp;E Schedule-style" pivot="0" count="5" xr9:uid="{00000000-0011-0000-FFFF-FFFF00000000}">
      <tableStyleElement type="wholeTable" size="0" dxfId="93"/>
      <tableStyleElement type="headerRow" dxfId="92"/>
      <tableStyleElement type="totalRow" dxfId="91"/>
      <tableStyleElement type="firstRowStripe" dxfId="90"/>
      <tableStyleElement type="secondRowStripe" dxfId="8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59405-28AC-4F96-84B3-49096BC8B0D5}" name="Table2" displayName="Table2" ref="A1:D7" totalsRowShown="0" tableBorderDxfId="88">
  <autoFilter ref="A1:D7" xr:uid="{E8D59405-28AC-4F96-84B3-49096BC8B0D5}"/>
  <tableColumns count="4">
    <tableColumn id="1" xr3:uid="{76E621DF-4EE1-4BDD-A881-C6161D6E7CF3}" name="Revenue Assumptions" dataDxfId="87"/>
    <tableColumn id="2" xr3:uid="{55B14F21-8697-4E6C-977B-B1C3B164C951}" name="Column1" dataDxfId="86"/>
    <tableColumn id="3" xr3:uid="{58FA9EFB-B38D-4DBF-922E-97683DDE1438}" name="Column2" dataDxfId="85"/>
    <tableColumn id="4" xr3:uid="{35AB7C70-3272-4A54-9EC0-218EBE67FD62}" name="Column3" dataDxfId="84">
      <calculatedColumnFormula>B2*(1+C2)</calculatedColumnFormula>
    </tableColumn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E3BDE5-B5F6-4CF4-A41A-27AD528B323C}" name="Table3" displayName="Table3" ref="A10:F15" totalsRowShown="0" headerRowDxfId="83" headerRowBorderDxfId="82" tableBorderDxfId="81" totalsRowBorderDxfId="80">
  <autoFilter ref="A10:F15" xr:uid="{C3E3BDE5-B5F6-4CF4-A41A-27AD528B323C}"/>
  <tableColumns count="6">
    <tableColumn id="1" xr3:uid="{FE54DC11-E179-4E89-975D-E342FFD04886}" name="Fiscal Year" dataDxfId="79"/>
    <tableColumn id="2" xr3:uid="{2EA6FF41-6542-4F6A-991F-8A4FBA9A12B2}" name="Total Revenue (₹ Cr)" dataDxfId="78"/>
    <tableColumn id="3" xr3:uid="{D9FC87D2-F467-4683-9CD2-89DEA7DCAA7E}" name="COGS" dataDxfId="77"/>
    <tableColumn id="4" xr3:uid="{9F048852-E540-4C39-B844-9A840A896DE5}" name="Gross Margin" dataDxfId="76">
      <calculatedColumnFormula>(B11-C11)/B11</calculatedColumnFormula>
    </tableColumn>
    <tableColumn id="5" xr3:uid="{B55D1ACE-D911-443A-A942-63643C759105}" name="Projected Gross Profit " dataDxfId="75">
      <calculatedColumnFormula>B11*D11</calculatedColumnFormula>
    </tableColumn>
    <tableColumn id="6" xr3:uid="{63B05B42-B735-4122-9D53-5CECFA564D4E}" name="Projected COGS" dataDxfId="74">
      <calculatedColumnFormula>B11-E11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1D8A55-90F1-4317-91F4-033373009CBB}" name="Table4" displayName="Table4" ref="A17:E23" totalsRowShown="0" tableBorderDxfId="73">
  <autoFilter ref="A17:E23" xr:uid="{791D8A55-90F1-4317-91F4-033373009CBB}"/>
  <tableColumns count="5">
    <tableColumn id="1" xr3:uid="{8679CC77-1E00-40CA-9776-332EFBD9AC2A}" name="COGS % of Revenue" dataDxfId="72"/>
    <tableColumn id="2" xr3:uid="{54EC9789-C685-4905-A545-48049DB084FA}" name="Column1" dataDxfId="71"/>
    <tableColumn id="3" xr3:uid="{15309C14-414E-487C-B2C8-F817BF409C79}" name="Column2" dataDxfId="70"/>
    <tableColumn id="4" xr3:uid="{03E9E647-EDF5-4329-8561-E7B3FF69207A}" name="Column3" dataDxfId="69">
      <calculatedColumnFormula>C18/B18</calculatedColumnFormula>
    </tableColumn>
    <tableColumn id="5" xr3:uid="{C2E53ABB-C9C1-4A8C-93FB-0A6945EB7251}" name="Column4" dataDxfId="68">
      <calculatedColumnFormula>B18*D18</calculatedColumnFormula>
    </tableColumn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464A2B-476B-4251-9CEC-92B9EB513220}" name="Table6" displayName="Table6" ref="A2:G38" totalsRowShown="0" headerRowDxfId="67">
  <autoFilter ref="A2:G38" xr:uid="{AB464A2B-476B-4251-9CEC-92B9EB513220}"/>
  <tableColumns count="7">
    <tableColumn id="1" xr3:uid="{E31404CE-DD4A-4779-9FF9-82B3BB5D90E3}" name="Column1"/>
    <tableColumn id="2" xr3:uid="{25BBDA98-F15B-4D77-BAFE-D18E148E537A}" name="Column2" dataDxfId="66"/>
    <tableColumn id="3" xr3:uid="{05C16BBC-7510-4B63-B948-18FCC6198110}" name="Column3"/>
    <tableColumn id="4" xr3:uid="{7D1F06D1-1006-4311-8D1C-0741BAEB9E30}" name="Column4"/>
    <tableColumn id="5" xr3:uid="{42941A54-FCB1-46BF-9003-033850C0F647}" name="Column5"/>
    <tableColumn id="6" xr3:uid="{DC593A24-EE00-4177-892E-BEE5CB25EDB1}" name="Column6"/>
    <tableColumn id="7" xr3:uid="{633E2B2D-3162-43D6-A9F6-DCD6D413ED39}" name="Column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F0E546-0F38-48AA-BC90-9C334BC0EEE7}" name="Table7" displayName="Table7" ref="A1:F56" totalsRowShown="0" headerRowDxfId="65" dataDxfId="64">
  <autoFilter ref="A1:F56" xr:uid="{DFF0E546-0F38-48AA-BC90-9C334BC0EEE7}"/>
  <tableColumns count="6">
    <tableColumn id="1" xr3:uid="{751D0FC3-6603-40AC-A718-C299A2EE1033}" name="Column1" dataDxfId="63"/>
    <tableColumn id="2" xr3:uid="{DE778E0E-C80A-4B2C-9479-F3F15A49EA16}" name="Column2" dataDxfId="62"/>
    <tableColumn id="3" xr3:uid="{845BB64D-6F23-4D1E-8986-DEEE91E79529}" name="Column3" dataDxfId="61"/>
    <tableColumn id="4" xr3:uid="{E8550D70-D4BB-4D25-9A93-EF9A01C478B7}" name="Column4" dataDxfId="60"/>
    <tableColumn id="5" xr3:uid="{AC108682-426E-4C1D-A24A-DC0C57302802}" name="Column5" dataDxfId="59"/>
    <tableColumn id="6" xr3:uid="{F44A6CC9-2B7D-496C-9525-189A83ED2BAA}" name="Column6" dataDxfId="58">
      <calculatedColumnFormula>SUM(B2:D2)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5E307A-0D18-4A23-BBA1-ED3EBC8CA67F}" name="Table5" displayName="Table5" ref="I2:N8" totalsRowShown="0" headerRowDxfId="57" dataDxfId="56">
  <autoFilter ref="I2:N8" xr:uid="{5E5E307A-0D18-4A23-BBA1-ED3EBC8CA67F}"/>
  <tableColumns count="6">
    <tableColumn id="1" xr3:uid="{981E4253-6E7E-4971-9F22-B02581F80C55}" name="Financial Year" dataDxfId="55"/>
    <tableColumn id="2" xr3:uid="{DE47898D-6C62-4545-9D21-5EAB943BE707}" name="Opening Balance" dataDxfId="54"/>
    <tableColumn id="3" xr3:uid="{74B36E5C-4F43-47C0-8CE7-39894F688F96}" name="Net Profit (PAT)" dataDxfId="53"/>
    <tableColumn id="4" xr3:uid="{CAC6C445-B897-4151-9721-B8D456332CCA}" name="Dividends Paid*" dataDxfId="52"/>
    <tableColumn id="5" xr3:uid="{696E61AB-ABD8-4469-8AFE-2B1E6A35C26F}" name="Others/Adj." dataDxfId="51"/>
    <tableColumn id="6" xr3:uid="{31A1C1A9-48E7-4829-9F08-91D8276F8590}" name="Closing Balance" dataDxfId="50"/>
  </tableColumns>
  <tableStyleInfo name="TableStyleLigh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473513-1FE1-404A-B848-8A9C9FE37588}" name="Table8" displayName="Table8" ref="A3:G37" totalsRowShown="0" headerRowDxfId="49" headerRowBorderDxfId="48" tableBorderDxfId="47" totalsRowBorderDxfId="46">
  <autoFilter ref="A3:G37" xr:uid="{DC473513-1FE1-404A-B848-8A9C9FE37588}"/>
  <tableColumns count="7">
    <tableColumn id="1" xr3:uid="{FD04A2D1-F243-4F00-8535-48C1342320B2}" name="Particulars" dataDxfId="45"/>
    <tableColumn id="2" xr3:uid="{9D7D8AA0-D600-4786-ACB8-65C1901E1DDE}" name="Note" dataDxfId="44"/>
    <tableColumn id="3" xr3:uid="{2D7A5A72-C2B5-4F91-82DC-FCABBD202B2E}" name="FY 2024-25 (A)"/>
    <tableColumn id="4" xr3:uid="{708DA153-1DB7-4FC3-BDB9-A73F4703C003}" name="FY 2023-24 (A)"/>
    <tableColumn id="5" xr3:uid="{522F0F53-9186-4237-B392-7BB61ECFBF5D}" name="FY 2022-23"/>
    <tableColumn id="6" xr3:uid="{2A79B0A8-9C2B-4812-87EF-798494416564}" name="FY 2021-22"/>
    <tableColumn id="7" xr3:uid="{3EA12D9D-7519-488C-BB3A-613D3233E66D}" name="FY 2020-21" dataDxfId="43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6" totalsRowCount="1">
  <tableColumns count="11">
    <tableColumn id="1" xr3:uid="{00000000-0010-0000-0000-000001000000}" name="Asset ID"/>
    <tableColumn id="2" xr3:uid="{00000000-0010-0000-0000-000002000000}" name="Description"/>
    <tableColumn id="3" xr3:uid="{00000000-0010-0000-0000-000003000000}" name="Cost (Opening)" totalsRowFunction="custom">
      <totalsRowFormula>SUM(Table1[Cost (Opening)])</totalsRowFormula>
    </tableColumn>
    <tableColumn id="4" xr3:uid="{00000000-0010-0000-0000-000004000000}" name="Additions"/>
    <tableColumn id="5" xr3:uid="{00000000-0010-0000-0000-000005000000}" name="Disposals/ Adj"/>
    <tableColumn id="6" xr3:uid="{00000000-0010-0000-0000-000006000000}" name="Cost (Closing)"/>
    <tableColumn id="7" xr3:uid="{00000000-0010-0000-0000-000007000000}" name="Accum. Dep (Opening)" totalsRowFunction="custom">
      <totalsRowFormula>SUM(Table1[Accum. Dep (Opening)])</totalsRowFormula>
    </tableColumn>
    <tableColumn id="8" xr3:uid="{00000000-0010-0000-0000-000008000000}" name="Depreciation(Salvage value)"/>
    <tableColumn id="9" xr3:uid="{00000000-0010-0000-0000-000009000000}" name="Accum. Dep (Closing)"/>
    <tableColumn id="10" xr3:uid="{00000000-0010-0000-0000-00000A000000}" name="Net Book Value (NBV)"/>
    <tableColumn id="11" xr3:uid="{00000000-0010-0000-0000-00000B000000}" name="Useful Life (Years)"/>
  </tableColumns>
  <tableStyleInfo name="TableStyleMedium1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F935C6-9B1F-4CFE-B1F0-7C99F34BD9E6}" name="Table9" displayName="Table9" ref="A1:G6" totalsRowShown="0" headerRowDxfId="42" dataDxfId="41">
  <autoFilter ref="A1:G6" xr:uid="{30F935C6-9B1F-4CFE-B1F0-7C99F34BD9E6}"/>
  <tableColumns count="7">
    <tableColumn id="1" xr3:uid="{5A7D529C-7269-4D31-8CD5-084EAFC9218A}" name="Fiscal Year" dataDxfId="40"/>
    <tableColumn id="2" xr3:uid="{E9B4C654-23AC-456A-8269-391C3D700098}" name="Opening Balance" dataDxfId="39"/>
    <tableColumn id="3" xr3:uid="{A31EA554-C852-4D85-A71A-572ECE9A1888}" name="New Loans (Proceeds)" dataDxfId="38"/>
    <tableColumn id="4" xr3:uid="{8E9DB4E9-CA6C-475E-955B-824EA2FDC487}" name="Repayments" dataDxfId="37"/>
    <tableColumn id="5" xr3:uid="{0239D98E-E4E4-4E42-8490-B116C3CD7829}" name="Closing Balance" dataDxfId="36">
      <calculatedColumnFormula>B2+C2-D2</calculatedColumnFormula>
    </tableColumn>
    <tableColumn id="6" xr3:uid="{CEC7CAAD-948E-4B05-B17E-DCF22850248A}" name="Interest % (Avg)" dataDxfId="35"/>
    <tableColumn id="7" xr3:uid="{9AAA553D-D7A8-49C5-8F4E-66E47F0C5D32}" name="Interest Expense" dataDxfId="34">
      <calculatedColumnFormula>(B2+E2)/2*F2</calculatedColumnFormula>
    </tableColumn>
  </tableColumns>
  <tableStyleInfo name="TableStyleLight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C93737-3062-427C-909B-89AD18064EC1}" name="Table10" displayName="Table10" ref="A1:F5" totalsRowShown="0" headerRowDxfId="33" dataDxfId="32">
  <autoFilter ref="A1:F5" xr:uid="{A0C93737-3062-427C-909B-89AD18064EC1}"/>
  <tableColumns count="6">
    <tableColumn id="1" xr3:uid="{9AE95A47-DEDE-431B-8221-261CB1A83563}" name=" Cash Conversion Cycle (CCC)" dataDxfId="31"/>
    <tableColumn id="2" xr3:uid="{67286B74-E2B6-4ADD-A256-B288C767854B}" name="FY21" dataDxfId="30"/>
    <tableColumn id="3" xr3:uid="{BB8553B4-AE2C-4385-A2AC-F5C14C7D3B98}" name="FY22" dataDxfId="29"/>
    <tableColumn id="4" xr3:uid="{661B7A90-55E8-4A6F-A1F4-BB901BE3BA9B}" name="FY23" dataDxfId="28"/>
    <tableColumn id="5" xr3:uid="{8BDCFA44-D3E0-44A5-8541-38925C1F8FC8}" name="FY24" dataDxfId="27"/>
    <tableColumn id="6" xr3:uid="{57AB15B4-281F-41D6-AABB-D9134A9C87D9}" name="FY25 (Est)" dataDxfId="26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26A0103-F922-4F56-BD89-9F62E59A632D}" name="Table11" displayName="Table11" ref="A7:F10" totalsRowShown="0" headerRowDxfId="25">
  <autoFilter ref="A7:F10" xr:uid="{C26A0103-F922-4F56-BD89-9F62E59A632D}"/>
  <tableColumns count="6">
    <tableColumn id="1" xr3:uid="{EF61F574-8BC6-443A-829B-B247E507A6B3}" name="Assumption"/>
    <tableColumn id="2" xr3:uid="{18492A10-B0E1-466A-BC1A-C95A94F232CA}" name="FY21"/>
    <tableColumn id="3" xr3:uid="{4FFF4102-C474-460B-85D3-F4D89D614675}" name="FY22"/>
    <tableColumn id="4" xr3:uid="{84556FB7-D647-4117-8C88-4DF92A28BB69}" name="FY23"/>
    <tableColumn id="5" xr3:uid="{97E27FED-D198-465E-9D77-B11EC77A3C3F}" name="FY24"/>
    <tableColumn id="6" xr3:uid="{3F6EB37A-757E-4C51-8A93-CE873A4AC4FB}" name="FY25 (Est)"/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5FD8A6-84EA-4CEF-9A0C-7DA04A735E7E}" name="Table13" displayName="Table13" ref="A1:F4" totalsRowShown="0" headerRowDxfId="24" tableBorderDxfId="23">
  <autoFilter ref="A1:F4" xr:uid="{435FD8A6-84EA-4CEF-9A0C-7DA04A735E7E}"/>
  <tableColumns count="6">
    <tableColumn id="1" xr3:uid="{93E880E2-2A02-44E0-AF8B-F3A3FDC822A3}" name="I. Margin Profitability" dataDxfId="22"/>
    <tableColumn id="2" xr3:uid="{6C6897A7-6C0C-4B65-9F2B-6A93C60C1E55}" name="FY21"/>
    <tableColumn id="3" xr3:uid="{367C8574-E5C6-4C6F-BC9A-2D982500598F}" name="FY22"/>
    <tableColumn id="4" xr3:uid="{3511B35B-29B5-4FEF-8CA6-3AEE4876D1D8}" name="FY23"/>
    <tableColumn id="5" xr3:uid="{F8878C94-CA15-46A5-90F7-A5948AF99E11}" name="FY24"/>
    <tableColumn id="6" xr3:uid="{C2F0CE23-004A-4128-967A-FFB0954CA45F}" name="FY25 (Est)" dataDxfId="21"/>
  </tableColumns>
  <tableStyleInfo name="TableStyleLight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E28BECC-8534-4F94-AFB1-F66AA8160089}" name="Table14" displayName="Table14" ref="A7:F11" totalsRowShown="0" headerRowDxfId="20" dataDxfId="19" tableBorderDxfId="18">
  <autoFilter ref="A7:F11" xr:uid="{5E28BECC-8534-4F94-AFB1-F66AA8160089}"/>
  <tableColumns count="6">
    <tableColumn id="1" xr3:uid="{C87521DE-4951-43EC-9071-68023F47192D}" name="Column1" dataDxfId="17"/>
    <tableColumn id="2" xr3:uid="{397462FA-C5E8-4E0F-8DEA-08357FAE7A64}" name="Column2" dataDxfId="16"/>
    <tableColumn id="3" xr3:uid="{A4536448-2E5F-4EB6-8B28-18B3F6922521}" name="Column3" dataDxfId="15"/>
    <tableColumn id="4" xr3:uid="{8527AEDE-B7CA-41F8-A249-F580A5A72177}" name="Column4" dataDxfId="14"/>
    <tableColumn id="5" xr3:uid="{412B2150-292F-429B-A74A-F41A2FE151B6}" name="Column5" dataDxfId="13"/>
    <tableColumn id="6" xr3:uid="{0974A97A-A173-43AD-BEA1-F2BB70640AB2}" name="Column6" dataDxfId="12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513D7C4-BF0C-4323-827B-90FEE3BC7DE2}" name="Table12" displayName="Table12" ref="A15:A16" totalsRowShown="0" headerRowDxfId="11" dataDxfId="9" headerRowBorderDxfId="10" tableBorderDxfId="8" totalsRowBorderDxfId="7">
  <autoFilter ref="A15:A16" xr:uid="{E513D7C4-BF0C-4323-827B-90FEE3BC7DE2}"/>
  <tableColumns count="1">
    <tableColumn id="1" xr3:uid="{C52BF692-73D1-42C4-923A-CCA20EA8F63C}" name="Current Ratio" dataDxfId="6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14445AE-58ED-4D1E-B5F2-7E3792B7C659}" name="Table15" displayName="Table15" ref="A20:A22" totalsRowShown="0" headerRowDxfId="5" dataDxfId="3" headerRowBorderDxfId="4" tableBorderDxfId="2" totalsRowBorderDxfId="1">
  <autoFilter ref="A20:A22" xr:uid="{614445AE-58ED-4D1E-B5F2-7E3792B7C659}"/>
  <tableColumns count="1">
    <tableColumn id="1" xr3:uid="{D0AD9A9F-A93C-4C8A-AF15-F476BE61330C}" name="Column1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"/>
  <sheetViews>
    <sheetView workbookViewId="0">
      <selection activeCell="E3" sqref="E3"/>
    </sheetView>
  </sheetViews>
  <sheetFormatPr defaultColWidth="12.6640625" defaultRowHeight="15.75" customHeight="1"/>
  <cols>
    <col min="1" max="1" width="22.33203125" customWidth="1"/>
    <col min="2" max="2" width="20.88671875" customWidth="1"/>
    <col min="4" max="4" width="14.6640625" customWidth="1"/>
    <col min="5" max="5" width="22" customWidth="1"/>
    <col min="6" max="6" width="17.21875" customWidth="1"/>
  </cols>
  <sheetData>
    <row r="1" spans="1:6" ht="13.2">
      <c r="A1" s="1" t="s">
        <v>0</v>
      </c>
      <c r="B1" t="s">
        <v>208</v>
      </c>
      <c r="C1" t="s">
        <v>209</v>
      </c>
      <c r="D1" t="s">
        <v>210</v>
      </c>
    </row>
    <row r="2" spans="1:6" ht="13.2">
      <c r="A2" s="66" t="s">
        <v>1</v>
      </c>
      <c r="B2" s="66" t="s">
        <v>2</v>
      </c>
      <c r="C2" s="66" t="s">
        <v>3</v>
      </c>
      <c r="D2" s="67" t="s">
        <v>4</v>
      </c>
      <c r="E2" s="1"/>
      <c r="F2" s="2" t="s">
        <v>5</v>
      </c>
    </row>
    <row r="3" spans="1:6" ht="13.2">
      <c r="A3" s="68" t="s">
        <v>6</v>
      </c>
      <c r="B3" s="69">
        <v>64869</v>
      </c>
      <c r="C3" s="68">
        <f>5%</f>
        <v>0.05</v>
      </c>
      <c r="D3" s="70">
        <f t="shared" ref="D3:D7" si="0">B3*(1+C3)</f>
        <v>68112.45</v>
      </c>
      <c r="F3" s="3" t="s">
        <v>7</v>
      </c>
    </row>
    <row r="4" spans="1:6" ht="13.2">
      <c r="A4" s="68" t="s">
        <v>8</v>
      </c>
      <c r="B4" s="69">
        <v>129021</v>
      </c>
      <c r="C4" s="68">
        <f>56.1%</f>
        <v>0.56100000000000005</v>
      </c>
      <c r="D4" s="70">
        <f t="shared" si="0"/>
        <v>201401.78099999999</v>
      </c>
      <c r="F4" s="3" t="s">
        <v>9</v>
      </c>
    </row>
    <row r="5" spans="1:6" ht="13.2">
      <c r="A5" s="68" t="s">
        <v>10</v>
      </c>
      <c r="B5" s="69">
        <v>129007</v>
      </c>
      <c r="C5" s="71">
        <v>-2E-3</v>
      </c>
      <c r="D5" s="70">
        <f t="shared" si="0"/>
        <v>128748.986</v>
      </c>
      <c r="F5" s="3" t="s">
        <v>11</v>
      </c>
    </row>
    <row r="6" spans="1:6" ht="13.2">
      <c r="A6" s="68" t="s">
        <v>12</v>
      </c>
      <c r="B6" s="69">
        <v>136111</v>
      </c>
      <c r="C6" s="71">
        <v>-5.8000000000000003E-2</v>
      </c>
      <c r="D6" s="70">
        <f t="shared" si="0"/>
        <v>128216.56199999999</v>
      </c>
      <c r="F6" s="3" t="s">
        <v>13</v>
      </c>
    </row>
    <row r="7" spans="1:6" ht="13.2">
      <c r="A7" s="73" t="s">
        <v>14</v>
      </c>
      <c r="B7" s="74">
        <v>142100</v>
      </c>
      <c r="C7" s="75">
        <v>-4.5999999999999999E-2</v>
      </c>
      <c r="D7" s="74">
        <f t="shared" si="0"/>
        <v>135563.4</v>
      </c>
      <c r="F7" s="3" t="s">
        <v>15</v>
      </c>
    </row>
    <row r="9" spans="1:6" ht="13.2">
      <c r="A9" s="1" t="s">
        <v>16</v>
      </c>
    </row>
    <row r="10" spans="1:6" ht="13.2">
      <c r="A10" s="78" t="s">
        <v>1</v>
      </c>
      <c r="B10" s="79" t="s">
        <v>2</v>
      </c>
      <c r="C10" s="80" t="s">
        <v>17</v>
      </c>
      <c r="D10" s="80" t="s">
        <v>18</v>
      </c>
      <c r="E10" s="81" t="s">
        <v>19</v>
      </c>
      <c r="F10" s="82" t="s">
        <v>20</v>
      </c>
    </row>
    <row r="11" spans="1:6" ht="13.2">
      <c r="A11" s="76" t="s">
        <v>6</v>
      </c>
      <c r="B11" s="69">
        <v>64869</v>
      </c>
      <c r="C11" s="69">
        <v>18780</v>
      </c>
      <c r="D11" s="70">
        <f t="shared" ref="D11:D15" si="1">(B11-C11)/B11</f>
        <v>0.71049345604217728</v>
      </c>
      <c r="E11" s="70">
        <f t="shared" ref="E11:E15" si="2">B11*D11</f>
        <v>46089</v>
      </c>
      <c r="F11" s="77">
        <f t="shared" ref="F11:F15" si="3">B11-E11</f>
        <v>18780</v>
      </c>
    </row>
    <row r="12" spans="1:6" ht="13.2">
      <c r="A12" s="76" t="s">
        <v>8</v>
      </c>
      <c r="B12" s="69">
        <v>129021</v>
      </c>
      <c r="C12" s="69">
        <v>37822</v>
      </c>
      <c r="D12" s="70">
        <f t="shared" si="1"/>
        <v>0.70685392300478211</v>
      </c>
      <c r="E12" s="70">
        <f t="shared" si="2"/>
        <v>91199</v>
      </c>
      <c r="F12" s="77">
        <f t="shared" si="3"/>
        <v>37822</v>
      </c>
    </row>
    <row r="13" spans="1:6" ht="13.2">
      <c r="A13" s="76" t="s">
        <v>10</v>
      </c>
      <c r="B13" s="69">
        <v>129007</v>
      </c>
      <c r="C13" s="69">
        <v>51490</v>
      </c>
      <c r="D13" s="70">
        <f t="shared" si="1"/>
        <v>0.60087437115815423</v>
      </c>
      <c r="E13" s="70">
        <f t="shared" si="2"/>
        <v>77517</v>
      </c>
      <c r="F13" s="77">
        <f t="shared" si="3"/>
        <v>51490</v>
      </c>
    </row>
    <row r="14" spans="1:6" ht="13.2">
      <c r="A14" s="76" t="s">
        <v>12</v>
      </c>
      <c r="B14" s="69">
        <v>136111</v>
      </c>
      <c r="C14" s="69">
        <v>53985</v>
      </c>
      <c r="D14" s="70">
        <f t="shared" si="1"/>
        <v>0.60337518642872356</v>
      </c>
      <c r="E14" s="70">
        <f t="shared" si="2"/>
        <v>82126</v>
      </c>
      <c r="F14" s="77">
        <f t="shared" si="3"/>
        <v>53985</v>
      </c>
    </row>
    <row r="15" spans="1:6" ht="13.2">
      <c r="A15" s="83" t="s">
        <v>14</v>
      </c>
      <c r="B15" s="74">
        <v>142100</v>
      </c>
      <c r="C15" s="84">
        <v>54250</v>
      </c>
      <c r="D15" s="74">
        <f t="shared" si="1"/>
        <v>0.61822660098522164</v>
      </c>
      <c r="E15" s="74">
        <f t="shared" si="2"/>
        <v>87850</v>
      </c>
      <c r="F15" s="85">
        <f t="shared" si="3"/>
        <v>54250</v>
      </c>
    </row>
    <row r="17" spans="1:6" ht="13.2">
      <c r="A17" s="1" t="s">
        <v>21</v>
      </c>
      <c r="B17" t="s">
        <v>208</v>
      </c>
      <c r="C17" t="s">
        <v>209</v>
      </c>
      <c r="D17" t="s">
        <v>210</v>
      </c>
      <c r="E17" t="s">
        <v>211</v>
      </c>
    </row>
    <row r="18" spans="1:6" ht="13.2">
      <c r="A18" s="66" t="s">
        <v>1</v>
      </c>
      <c r="B18" s="66" t="s">
        <v>2</v>
      </c>
      <c r="C18" s="67" t="s">
        <v>17</v>
      </c>
      <c r="D18" s="72" t="s">
        <v>22</v>
      </c>
      <c r="E18" s="67" t="s">
        <v>23</v>
      </c>
      <c r="F18" s="1"/>
    </row>
    <row r="19" spans="1:6" ht="13.2">
      <c r="A19" s="68" t="s">
        <v>6</v>
      </c>
      <c r="B19" s="69">
        <v>64869</v>
      </c>
      <c r="C19" s="69">
        <v>18780</v>
      </c>
      <c r="D19" s="70">
        <f t="shared" ref="D19:D23" si="4">C19/B19</f>
        <v>0.28950654395782272</v>
      </c>
      <c r="E19" s="70">
        <f t="shared" ref="E19:E23" si="5">B19*D19</f>
        <v>18780</v>
      </c>
    </row>
    <row r="20" spans="1:6" ht="13.2">
      <c r="A20" s="68" t="s">
        <v>8</v>
      </c>
      <c r="B20" s="69">
        <v>129021</v>
      </c>
      <c r="C20" s="69">
        <v>37822</v>
      </c>
      <c r="D20" s="70">
        <f t="shared" si="4"/>
        <v>0.29314607699521783</v>
      </c>
      <c r="E20" s="70">
        <f t="shared" si="5"/>
        <v>37822</v>
      </c>
    </row>
    <row r="21" spans="1:6" ht="13.2">
      <c r="A21" s="68" t="s">
        <v>10</v>
      </c>
      <c r="B21" s="69">
        <v>129007</v>
      </c>
      <c r="C21" s="69">
        <v>51490</v>
      </c>
      <c r="D21" s="70">
        <f t="shared" si="4"/>
        <v>0.39912562884184577</v>
      </c>
      <c r="E21" s="70">
        <f t="shared" si="5"/>
        <v>51490</v>
      </c>
    </row>
    <row r="22" spans="1:6" ht="13.2">
      <c r="A22" s="68" t="s">
        <v>12</v>
      </c>
      <c r="B22" s="69">
        <v>136111</v>
      </c>
      <c r="C22" s="69">
        <v>53985</v>
      </c>
      <c r="D22" s="70">
        <f t="shared" si="4"/>
        <v>0.39662481357127638</v>
      </c>
      <c r="E22" s="70">
        <f t="shared" si="5"/>
        <v>53985</v>
      </c>
    </row>
    <row r="23" spans="1:6" ht="13.2">
      <c r="A23" s="73" t="s">
        <v>14</v>
      </c>
      <c r="B23" s="74">
        <v>142100</v>
      </c>
      <c r="C23" s="84">
        <v>54250</v>
      </c>
      <c r="D23" s="74">
        <f t="shared" si="4"/>
        <v>0.3817733990147783</v>
      </c>
      <c r="E23" s="74">
        <f t="shared" si="5"/>
        <v>54250</v>
      </c>
    </row>
    <row r="26" spans="1:6" ht="15.75" customHeight="1">
      <c r="A26" s="7"/>
      <c r="B26" s="4"/>
      <c r="C26" s="4"/>
      <c r="D26" s="4"/>
      <c r="E26" s="4"/>
      <c r="F26" s="4"/>
    </row>
    <row r="28" spans="1:6" ht="14.4">
      <c r="A28" s="7"/>
    </row>
    <row r="29" spans="1:6" ht="14.4">
      <c r="A29" s="8"/>
    </row>
    <row r="30" spans="1:6" ht="14.4">
      <c r="A30" s="8"/>
    </row>
    <row r="31" spans="1:6" ht="14.4">
      <c r="A31" s="8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77" workbookViewId="0">
      <selection activeCell="B5" sqref="A3:G38"/>
    </sheetView>
  </sheetViews>
  <sheetFormatPr defaultColWidth="12.6640625" defaultRowHeight="15.75" customHeight="1"/>
  <sheetData>
    <row r="1" spans="1:26" ht="15.75" customHeight="1">
      <c r="A1" s="9"/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3.2">
      <c r="A2" s="10" t="s">
        <v>208</v>
      </c>
      <c r="B2" s="11" t="s">
        <v>209</v>
      </c>
      <c r="C2" s="10" t="s">
        <v>210</v>
      </c>
      <c r="D2" s="10" t="s">
        <v>211</v>
      </c>
      <c r="E2" s="10" t="s">
        <v>212</v>
      </c>
      <c r="F2" s="10" t="s">
        <v>213</v>
      </c>
      <c r="G2" s="10" t="s">
        <v>214</v>
      </c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2">
      <c r="A3" s="10" t="s">
        <v>24</v>
      </c>
      <c r="B3" s="11"/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6"/>
      <c r="I3" s="10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2">
      <c r="A4" s="10" t="s">
        <v>30</v>
      </c>
      <c r="B4" s="6"/>
      <c r="C4" s="4"/>
      <c r="D4" s="4"/>
      <c r="E4" s="4"/>
      <c r="F4" s="4"/>
      <c r="G4" s="4"/>
      <c r="H4" s="6"/>
      <c r="I4" s="4"/>
      <c r="J4" s="4"/>
      <c r="K4" s="4"/>
      <c r="L4" s="4"/>
      <c r="M4" s="4"/>
      <c r="N4" s="4"/>
      <c r="O4" s="4"/>
      <c r="P4" s="4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2">
      <c r="A5" s="4" t="s">
        <v>31</v>
      </c>
      <c r="B5" s="6"/>
      <c r="C5" s="4">
        <v>64869</v>
      </c>
      <c r="D5" s="4">
        <v>129021</v>
      </c>
      <c r="E5" s="4">
        <v>129007</v>
      </c>
      <c r="F5" s="4">
        <v>136111</v>
      </c>
      <c r="G5" s="5">
        <v>142100</v>
      </c>
      <c r="H5" s="6"/>
      <c r="I5" s="4"/>
      <c r="J5" s="4"/>
      <c r="K5" s="4"/>
      <c r="L5" s="4"/>
      <c r="M5" s="4"/>
      <c r="N5" s="4"/>
      <c r="O5" s="4"/>
      <c r="P5" s="10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2">
      <c r="A6" s="4" t="s">
        <v>32</v>
      </c>
      <c r="B6" s="6"/>
      <c r="C6" s="4">
        <v>1023</v>
      </c>
      <c r="D6" s="4">
        <v>871</v>
      </c>
      <c r="E6" s="4">
        <v>1045</v>
      </c>
      <c r="F6" s="4">
        <v>1210</v>
      </c>
      <c r="G6" s="5">
        <v>1350</v>
      </c>
      <c r="H6" s="10"/>
      <c r="I6" s="10"/>
      <c r="J6" s="10"/>
      <c r="K6" s="10"/>
      <c r="L6" s="10"/>
      <c r="M6" s="10"/>
      <c r="N6" s="10"/>
      <c r="O6" s="10"/>
      <c r="P6" s="4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2">
      <c r="A7" s="10" t="s">
        <v>33</v>
      </c>
      <c r="B7" s="6"/>
      <c r="C7" s="10">
        <f t="shared" ref="C7:G7" si="0">SUM(C5:C6)</f>
        <v>65892</v>
      </c>
      <c r="D7" s="10">
        <f t="shared" si="0"/>
        <v>129892</v>
      </c>
      <c r="E7" s="10">
        <f t="shared" si="0"/>
        <v>130052</v>
      </c>
      <c r="F7" s="10">
        <f t="shared" si="0"/>
        <v>137321</v>
      </c>
      <c r="G7" s="10">
        <f t="shared" si="0"/>
        <v>143450</v>
      </c>
      <c r="H7" s="6"/>
      <c r="I7" s="4"/>
      <c r="J7" s="4"/>
      <c r="K7" s="4"/>
      <c r="L7" s="4"/>
      <c r="M7" s="4"/>
      <c r="N7" s="4"/>
      <c r="O7" s="4"/>
      <c r="P7" s="10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2">
      <c r="A8" s="4"/>
      <c r="B8" s="6"/>
      <c r="C8" s="4"/>
      <c r="D8" s="4"/>
      <c r="E8" s="4"/>
      <c r="F8" s="4"/>
      <c r="G8" s="4"/>
      <c r="H8" s="6"/>
      <c r="I8" s="10"/>
      <c r="J8" s="4"/>
      <c r="K8" s="4"/>
      <c r="L8" s="4"/>
      <c r="M8" s="4"/>
      <c r="N8" s="4"/>
      <c r="O8" s="4"/>
      <c r="P8" s="12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2">
      <c r="A9" s="10" t="s">
        <v>34</v>
      </c>
      <c r="B9" s="6"/>
      <c r="C9" s="4"/>
      <c r="D9" s="4"/>
      <c r="E9" s="4"/>
      <c r="F9" s="4"/>
      <c r="G9" s="4"/>
      <c r="H9" s="6"/>
      <c r="I9" s="4"/>
      <c r="J9" s="4"/>
      <c r="K9" s="4"/>
      <c r="L9" s="4"/>
      <c r="M9" s="4"/>
      <c r="N9" s="4"/>
      <c r="O9" s="4"/>
      <c r="P9" s="4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2">
      <c r="A10" s="4" t="s">
        <v>35</v>
      </c>
      <c r="B10" s="6"/>
      <c r="C10" s="4">
        <v>17450</v>
      </c>
      <c r="D10" s="4">
        <v>33452</v>
      </c>
      <c r="E10" s="4">
        <v>44120</v>
      </c>
      <c r="F10" s="4">
        <v>46215</v>
      </c>
      <c r="G10" s="4">
        <v>47500</v>
      </c>
      <c r="H10" s="6"/>
      <c r="I10" s="4"/>
      <c r="J10" s="4"/>
      <c r="K10" s="4"/>
      <c r="L10" s="4"/>
      <c r="M10" s="4"/>
      <c r="N10" s="4"/>
      <c r="O10" s="4"/>
      <c r="P10" s="4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2">
      <c r="A11" s="4" t="s">
        <v>36</v>
      </c>
      <c r="B11" s="6"/>
      <c r="C11" s="4">
        <v>2540</v>
      </c>
      <c r="D11" s="4">
        <v>6520</v>
      </c>
      <c r="E11" s="4">
        <v>8910</v>
      </c>
      <c r="F11" s="4">
        <v>7450</v>
      </c>
      <c r="G11" s="4">
        <v>7200</v>
      </c>
      <c r="H11" s="6"/>
      <c r="I11" s="4"/>
      <c r="J11" s="4"/>
      <c r="K11" s="4"/>
      <c r="L11" s="4"/>
      <c r="M11" s="4"/>
      <c r="N11" s="4"/>
      <c r="O11" s="4"/>
      <c r="P11" s="4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2">
      <c r="A12" s="4" t="s">
        <v>37</v>
      </c>
      <c r="B12" s="6"/>
      <c r="C12" s="4">
        <v>-1210</v>
      </c>
      <c r="D12" s="4">
        <v>-2150</v>
      </c>
      <c r="E12" s="4">
        <v>-1540</v>
      </c>
      <c r="F12" s="4">
        <v>320</v>
      </c>
      <c r="G12" s="4">
        <v>-450</v>
      </c>
      <c r="H12" s="6"/>
      <c r="I12" s="10"/>
      <c r="J12" s="10"/>
      <c r="K12" s="10"/>
      <c r="L12" s="10"/>
      <c r="M12" s="10"/>
      <c r="N12" s="10"/>
      <c r="O12" s="10"/>
      <c r="P12" s="10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2">
      <c r="A13" s="10" t="s">
        <v>38</v>
      </c>
      <c r="B13" s="6"/>
      <c r="C13" s="10">
        <f t="shared" ref="C13:G13" si="1">SUM(C10:C12)</f>
        <v>18780</v>
      </c>
      <c r="D13" s="10">
        <f t="shared" si="1"/>
        <v>37822</v>
      </c>
      <c r="E13" s="10">
        <f t="shared" si="1"/>
        <v>51490</v>
      </c>
      <c r="F13" s="10">
        <f t="shared" si="1"/>
        <v>53985</v>
      </c>
      <c r="G13" s="10">
        <f t="shared" si="1"/>
        <v>54250</v>
      </c>
      <c r="H13" s="6"/>
      <c r="I13" s="4"/>
      <c r="J13" s="4"/>
      <c r="K13" s="4"/>
      <c r="L13" s="4"/>
      <c r="M13" s="4"/>
      <c r="N13" s="4"/>
      <c r="O13" s="4"/>
      <c r="P13" s="4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2">
      <c r="A14" s="4"/>
      <c r="B14" s="6"/>
      <c r="C14" s="4"/>
      <c r="D14" s="4"/>
      <c r="E14" s="4"/>
      <c r="F14" s="4"/>
      <c r="G14" s="4"/>
      <c r="H14" s="6"/>
      <c r="I14" s="10"/>
      <c r="J14" s="10"/>
      <c r="K14" s="10"/>
      <c r="L14" s="10"/>
      <c r="M14" s="10"/>
      <c r="N14" s="10"/>
      <c r="O14" s="10"/>
      <c r="P14" s="10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2">
      <c r="A15" s="10" t="s">
        <v>39</v>
      </c>
      <c r="B15" s="6"/>
      <c r="C15" s="10">
        <f t="shared" ref="C15:G15" si="2">C7-C13</f>
        <v>47112</v>
      </c>
      <c r="D15" s="10">
        <f t="shared" si="2"/>
        <v>92070</v>
      </c>
      <c r="E15" s="10">
        <f t="shared" si="2"/>
        <v>78562</v>
      </c>
      <c r="F15" s="10">
        <f t="shared" si="2"/>
        <v>83336</v>
      </c>
      <c r="G15" s="10">
        <f t="shared" si="2"/>
        <v>89200</v>
      </c>
      <c r="H15" s="6"/>
      <c r="I15" s="4"/>
      <c r="J15" s="4"/>
      <c r="K15" s="4"/>
      <c r="L15" s="4"/>
      <c r="M15" s="4"/>
      <c r="N15" s="4"/>
      <c r="O15" s="4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2">
      <c r="A16" s="4"/>
      <c r="B16" s="6"/>
      <c r="C16" s="4"/>
      <c r="D16" s="4"/>
      <c r="E16" s="4"/>
      <c r="F16" s="4"/>
      <c r="G16" s="4"/>
      <c r="H16" s="6"/>
      <c r="I16" s="10"/>
      <c r="J16" s="4"/>
      <c r="K16" s="4"/>
      <c r="L16" s="4"/>
      <c r="M16" s="4"/>
      <c r="N16" s="4"/>
      <c r="O16" s="4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2">
      <c r="A17" s="10" t="s">
        <v>40</v>
      </c>
      <c r="B17" s="6"/>
      <c r="C17" s="4"/>
      <c r="D17" s="4"/>
      <c r="E17" s="4"/>
      <c r="F17" s="4"/>
      <c r="G17" s="4"/>
      <c r="H17" s="6"/>
      <c r="I17" s="4"/>
      <c r="J17" s="4"/>
      <c r="K17" s="4"/>
      <c r="L17" s="4"/>
      <c r="M17" s="4"/>
      <c r="N17" s="4"/>
      <c r="O17" s="4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2">
      <c r="A18" s="4" t="s">
        <v>41</v>
      </c>
      <c r="B18" s="6"/>
      <c r="C18" s="4">
        <v>5234</v>
      </c>
      <c r="D18" s="4">
        <v>6051</v>
      </c>
      <c r="E18" s="4">
        <v>6321</v>
      </c>
      <c r="F18" s="4">
        <v>6850</v>
      </c>
      <c r="G18" s="4">
        <v>7100</v>
      </c>
      <c r="H18" s="6"/>
      <c r="I18" s="4"/>
      <c r="J18" s="4"/>
      <c r="K18" s="4"/>
      <c r="L18" s="4"/>
      <c r="M18" s="4"/>
      <c r="N18" s="4"/>
      <c r="O18" s="4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2">
      <c r="A19" s="4" t="s">
        <v>42</v>
      </c>
      <c r="B19" s="6"/>
      <c r="C19" s="4">
        <v>4320</v>
      </c>
      <c r="D19" s="4">
        <v>4450</v>
      </c>
      <c r="E19" s="4">
        <v>4560</v>
      </c>
      <c r="F19" s="4">
        <v>4820</v>
      </c>
      <c r="G19" s="4">
        <v>5050</v>
      </c>
      <c r="H19" s="6"/>
      <c r="I19" s="4"/>
      <c r="J19" s="4"/>
      <c r="K19" s="4"/>
      <c r="L19" s="4"/>
      <c r="M19" s="4"/>
      <c r="N19" s="4"/>
      <c r="O19" s="4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2">
      <c r="A20" s="4" t="s">
        <v>43</v>
      </c>
      <c r="B20" s="6"/>
      <c r="C20" s="4">
        <v>18150</v>
      </c>
      <c r="D20" s="4">
        <v>28150</v>
      </c>
      <c r="E20" s="4">
        <v>36450</v>
      </c>
      <c r="F20" s="4">
        <v>39210</v>
      </c>
      <c r="G20" s="4">
        <v>40500</v>
      </c>
      <c r="H20" s="6"/>
      <c r="I20" s="10"/>
      <c r="J20" s="10"/>
      <c r="K20" s="10"/>
      <c r="L20" s="10"/>
      <c r="M20" s="10"/>
      <c r="N20" s="10"/>
      <c r="O20" s="10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2">
      <c r="A21" s="10" t="s">
        <v>44</v>
      </c>
      <c r="B21" s="6"/>
      <c r="C21" s="10">
        <f t="shared" ref="C21:G21" si="3">SUM(C18:C20)</f>
        <v>27704</v>
      </c>
      <c r="D21" s="10">
        <f t="shared" si="3"/>
        <v>38651</v>
      </c>
      <c r="E21" s="10">
        <f t="shared" si="3"/>
        <v>47331</v>
      </c>
      <c r="F21" s="10">
        <f t="shared" si="3"/>
        <v>50880</v>
      </c>
      <c r="G21" s="10">
        <f t="shared" si="3"/>
        <v>52650</v>
      </c>
      <c r="H21" s="6"/>
      <c r="I21" s="4"/>
      <c r="J21" s="4"/>
      <c r="K21" s="4"/>
      <c r="L21" s="4"/>
      <c r="M21" s="4"/>
      <c r="N21" s="4"/>
      <c r="O21" s="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2">
      <c r="A22" s="4"/>
      <c r="B22" s="6"/>
      <c r="C22" s="4"/>
      <c r="D22" s="4"/>
      <c r="E22" s="4"/>
      <c r="F22" s="4"/>
      <c r="G22" s="4"/>
      <c r="H22" s="6"/>
      <c r="I22" s="10"/>
      <c r="J22" s="10"/>
      <c r="K22" s="10"/>
      <c r="L22" s="10"/>
      <c r="M22" s="10"/>
      <c r="N22" s="10"/>
      <c r="O22" s="10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2">
      <c r="A23" s="10" t="s">
        <v>45</v>
      </c>
      <c r="B23" s="6"/>
      <c r="C23" s="10">
        <f t="shared" ref="C23:G23" si="4">C15-C21</f>
        <v>19408</v>
      </c>
      <c r="D23" s="10">
        <f t="shared" si="4"/>
        <v>53419</v>
      </c>
      <c r="E23" s="10">
        <f t="shared" si="4"/>
        <v>31231</v>
      </c>
      <c r="F23" s="10">
        <f t="shared" si="4"/>
        <v>32456</v>
      </c>
      <c r="G23" s="10">
        <f t="shared" si="4"/>
        <v>36550</v>
      </c>
      <c r="H23" s="6"/>
      <c r="I23" s="4"/>
      <c r="J23" s="4"/>
      <c r="K23" s="4"/>
      <c r="L23" s="4"/>
      <c r="M23" s="4"/>
      <c r="N23" s="4"/>
      <c r="O23" s="4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2">
      <c r="A24" s="4"/>
      <c r="B24" s="6"/>
      <c r="C24" s="4"/>
      <c r="D24" s="4"/>
      <c r="E24" s="4"/>
      <c r="F24" s="4"/>
      <c r="G24" s="4"/>
      <c r="H24" s="6"/>
      <c r="I24" s="4"/>
      <c r="J24" s="4"/>
      <c r="K24" s="4"/>
      <c r="L24" s="4"/>
      <c r="M24" s="4"/>
      <c r="N24" s="4"/>
      <c r="O24" s="4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2">
      <c r="A25" s="4" t="s">
        <v>46</v>
      </c>
      <c r="B25" s="6"/>
      <c r="C25" s="4">
        <v>3015</v>
      </c>
      <c r="D25" s="4">
        <v>2850</v>
      </c>
      <c r="E25" s="4">
        <v>3210</v>
      </c>
      <c r="F25" s="4">
        <v>3450</v>
      </c>
      <c r="G25" s="4">
        <v>3300</v>
      </c>
      <c r="H25" s="6"/>
      <c r="I25" s="4"/>
      <c r="J25" s="4"/>
      <c r="K25" s="4"/>
      <c r="L25" s="4"/>
      <c r="M25" s="4"/>
      <c r="N25" s="4"/>
      <c r="O25" s="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2">
      <c r="A26" s="4" t="s">
        <v>47</v>
      </c>
      <c r="B26" s="6"/>
      <c r="C26" s="4">
        <v>16393</v>
      </c>
      <c r="D26" s="4">
        <v>50569</v>
      </c>
      <c r="E26" s="4">
        <v>28021</v>
      </c>
      <c r="F26" s="4">
        <v>29406</v>
      </c>
      <c r="G26" s="4">
        <v>33250</v>
      </c>
      <c r="H26" s="6"/>
      <c r="I26" s="4"/>
      <c r="J26" s="4"/>
      <c r="K26" s="4"/>
      <c r="L26" s="4"/>
      <c r="M26" s="4"/>
      <c r="N26" s="4"/>
      <c r="O26" s="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2">
      <c r="A27" s="4" t="s">
        <v>48</v>
      </c>
      <c r="B27" s="6"/>
      <c r="C27" s="4">
        <v>-980</v>
      </c>
      <c r="D27" s="4">
        <v>-150</v>
      </c>
      <c r="E27" s="4">
        <v>-1200</v>
      </c>
      <c r="F27" s="4">
        <v>-2500</v>
      </c>
      <c r="G27" s="4">
        <v>-800</v>
      </c>
      <c r="H27" s="6"/>
      <c r="I27" s="10"/>
      <c r="J27" s="10"/>
      <c r="K27" s="10"/>
      <c r="L27" s="10"/>
      <c r="M27" s="10"/>
      <c r="N27" s="10"/>
      <c r="O27" s="1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2">
      <c r="A28" s="10" t="s">
        <v>49</v>
      </c>
      <c r="B28" s="6"/>
      <c r="C28" s="10">
        <f t="shared" ref="C28:G28" si="5">C26+C27</f>
        <v>15413</v>
      </c>
      <c r="D28" s="10">
        <f t="shared" si="5"/>
        <v>50419</v>
      </c>
      <c r="E28" s="10">
        <f t="shared" si="5"/>
        <v>26821</v>
      </c>
      <c r="F28" s="10">
        <f t="shared" si="5"/>
        <v>26906</v>
      </c>
      <c r="G28" s="10">
        <f t="shared" si="5"/>
        <v>32450</v>
      </c>
      <c r="H28" s="6"/>
      <c r="I28" s="4"/>
      <c r="J28" s="4"/>
      <c r="K28" s="4"/>
      <c r="L28" s="4"/>
      <c r="M28" s="4"/>
      <c r="N28" s="4"/>
      <c r="O28" s="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>
      <c r="A29" s="4"/>
      <c r="B29" s="6"/>
      <c r="C29" s="4"/>
      <c r="D29" s="4"/>
      <c r="E29" s="4"/>
      <c r="F29" s="4"/>
      <c r="G29" s="4"/>
      <c r="H29" s="6"/>
      <c r="I29" s="10"/>
      <c r="J29" s="4"/>
      <c r="K29" s="4"/>
      <c r="L29" s="4"/>
      <c r="M29" s="4"/>
      <c r="N29" s="4"/>
      <c r="O29" s="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>
      <c r="A30" s="10" t="s">
        <v>50</v>
      </c>
      <c r="B30" s="6"/>
      <c r="C30" s="4"/>
      <c r="D30" s="4"/>
      <c r="E30" s="4"/>
      <c r="F30" s="4"/>
      <c r="G30" s="4"/>
      <c r="H30" s="6"/>
      <c r="I30" s="4"/>
      <c r="J30" s="4"/>
      <c r="K30" s="4"/>
      <c r="L30" s="4"/>
      <c r="M30" s="4"/>
      <c r="N30" s="4"/>
      <c r="O30" s="4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>
      <c r="A31" s="4" t="s">
        <v>51</v>
      </c>
      <c r="B31" s="6"/>
      <c r="C31" s="4">
        <v>4050</v>
      </c>
      <c r="D31" s="4">
        <v>12450</v>
      </c>
      <c r="E31" s="4">
        <v>6150</v>
      </c>
      <c r="F31" s="4">
        <v>6450</v>
      </c>
      <c r="G31" s="4">
        <v>7800</v>
      </c>
      <c r="H31" s="6"/>
      <c r="I31" s="4"/>
      <c r="J31" s="4"/>
      <c r="K31" s="4"/>
      <c r="L31" s="4"/>
      <c r="M31" s="4"/>
      <c r="N31" s="4"/>
      <c r="O31" s="4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>
      <c r="A32" s="4" t="s">
        <v>52</v>
      </c>
      <c r="B32" s="6"/>
      <c r="C32" s="4">
        <v>1120</v>
      </c>
      <c r="D32" s="4">
        <v>4950</v>
      </c>
      <c r="E32" s="4">
        <v>1580</v>
      </c>
      <c r="F32" s="4">
        <v>1210</v>
      </c>
      <c r="G32" s="4">
        <v>1150</v>
      </c>
      <c r="H32" s="6"/>
      <c r="I32" s="10"/>
      <c r="J32" s="10"/>
      <c r="K32" s="10"/>
      <c r="L32" s="10"/>
      <c r="M32" s="10"/>
      <c r="N32" s="10"/>
      <c r="O32" s="10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>
      <c r="A33" s="10" t="s">
        <v>53</v>
      </c>
      <c r="B33" s="6"/>
      <c r="C33" s="10">
        <f t="shared" ref="C33:G33" si="6">SUM(C31:C32)</f>
        <v>5170</v>
      </c>
      <c r="D33" s="10">
        <f t="shared" si="6"/>
        <v>17400</v>
      </c>
      <c r="E33" s="10">
        <f t="shared" si="6"/>
        <v>7730</v>
      </c>
      <c r="F33" s="10">
        <f t="shared" si="6"/>
        <v>7660</v>
      </c>
      <c r="G33" s="10">
        <f t="shared" si="6"/>
        <v>8950</v>
      </c>
      <c r="H33" s="6"/>
      <c r="I33" s="4"/>
      <c r="J33" s="4"/>
      <c r="K33" s="4"/>
      <c r="L33" s="4"/>
      <c r="M33" s="4"/>
      <c r="N33" s="4"/>
      <c r="O33" s="4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>
      <c r="A34" s="4"/>
      <c r="B34" s="6"/>
      <c r="C34" s="4"/>
      <c r="D34" s="4"/>
      <c r="E34" s="4"/>
      <c r="F34" s="4"/>
      <c r="G34" s="4"/>
      <c r="H34" s="6"/>
      <c r="I34" s="10"/>
      <c r="J34" s="10"/>
      <c r="K34" s="10"/>
      <c r="L34" s="10"/>
      <c r="M34" s="10"/>
      <c r="N34" s="10"/>
      <c r="O34" s="10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>
      <c r="A35" s="10" t="s">
        <v>54</v>
      </c>
      <c r="B35" s="6"/>
      <c r="C35" s="10">
        <f t="shared" ref="C35:G35" si="7">C28-C33</f>
        <v>10243</v>
      </c>
      <c r="D35" s="10">
        <f t="shared" si="7"/>
        <v>33019</v>
      </c>
      <c r="E35" s="10">
        <f t="shared" si="7"/>
        <v>19091</v>
      </c>
      <c r="F35" s="10">
        <f t="shared" si="7"/>
        <v>19246</v>
      </c>
      <c r="G35" s="10">
        <f t="shared" si="7"/>
        <v>23500</v>
      </c>
      <c r="H35" s="6"/>
      <c r="I35" s="10"/>
      <c r="J35" s="4"/>
      <c r="K35" s="4"/>
      <c r="L35" s="4"/>
      <c r="M35" s="4"/>
      <c r="N35" s="4"/>
      <c r="O35" s="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>
      <c r="A36" s="10" t="s">
        <v>55</v>
      </c>
      <c r="B36" s="6"/>
      <c r="C36" s="4">
        <v>115</v>
      </c>
      <c r="D36" s="4">
        <v>-82</v>
      </c>
      <c r="E36" s="4">
        <v>145</v>
      </c>
      <c r="F36" s="4">
        <v>90</v>
      </c>
      <c r="G36" s="4">
        <v>110</v>
      </c>
      <c r="H36" s="6"/>
      <c r="I36" s="10"/>
      <c r="J36" s="10"/>
      <c r="K36" s="10"/>
      <c r="L36" s="10"/>
      <c r="M36" s="10"/>
      <c r="N36" s="10"/>
      <c r="O36" s="10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4">
      <c r="A37" s="9"/>
      <c r="B37" s="13"/>
      <c r="C37" s="14"/>
      <c r="D37" s="14"/>
      <c r="E37" s="14"/>
      <c r="F37" s="14"/>
      <c r="G37" s="1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4">
      <c r="A38" s="15" t="s">
        <v>56</v>
      </c>
      <c r="B38" s="15"/>
      <c r="C38" s="16">
        <f t="shared" ref="C38:G38" si="8">SUM(C35:C36)</f>
        <v>10358</v>
      </c>
      <c r="D38" s="16">
        <f t="shared" si="8"/>
        <v>32937</v>
      </c>
      <c r="E38" s="16">
        <f t="shared" si="8"/>
        <v>19236</v>
      </c>
      <c r="F38" s="16">
        <f t="shared" si="8"/>
        <v>19336</v>
      </c>
      <c r="G38" s="16">
        <f t="shared" si="8"/>
        <v>23610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>
      <c r="A40" s="4" t="s">
        <v>57</v>
      </c>
      <c r="B40" s="4" t="s">
        <v>58</v>
      </c>
      <c r="C40" s="4" t="s">
        <v>59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>
      <c r="A41" s="10" t="s">
        <v>60</v>
      </c>
      <c r="B41" s="17">
        <v>6.6600000000000006E-2</v>
      </c>
      <c r="C41" s="4" t="s">
        <v>61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>
      <c r="A42" s="10" t="s">
        <v>62</v>
      </c>
      <c r="B42" s="17">
        <v>0.14499999999999999</v>
      </c>
      <c r="C42" s="4" t="s">
        <v>63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>
      <c r="A43" s="10" t="s">
        <v>64</v>
      </c>
      <c r="B43" s="10">
        <v>1.44</v>
      </c>
      <c r="C43" s="4" t="s">
        <v>65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>
      <c r="A44" s="10" t="s">
        <v>66</v>
      </c>
      <c r="B44" s="17">
        <v>0.25369999999999998</v>
      </c>
      <c r="C44" s="4" t="s">
        <v>67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4">
      <c r="A45" s="15"/>
      <c r="B45" s="9"/>
      <c r="C45" s="1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4">
      <c r="A46" s="18" t="s">
        <v>68</v>
      </c>
      <c r="B46" s="9"/>
      <c r="C46" s="15">
        <f>B41+B43*(B42-B41)</f>
        <v>0.17949599999999999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>
      <c r="A47" s="19" t="s">
        <v>69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zoomScale="83" workbookViewId="0">
      <selection activeCell="G17" sqref="G17"/>
    </sheetView>
  </sheetViews>
  <sheetFormatPr defaultColWidth="12.6640625" defaultRowHeight="15.75" customHeight="1"/>
  <cols>
    <col min="9" max="9" width="15.109375" customWidth="1"/>
    <col min="10" max="10" width="17.5546875" customWidth="1"/>
    <col min="11" max="12" width="16.21875" customWidth="1"/>
    <col min="14" max="14" width="16.5546875" customWidth="1"/>
  </cols>
  <sheetData>
    <row r="1" spans="1:26">
      <c r="A1" s="10" t="s">
        <v>208</v>
      </c>
      <c r="B1" s="10" t="s">
        <v>209</v>
      </c>
      <c r="C1" s="10" t="s">
        <v>210</v>
      </c>
      <c r="D1" s="10" t="s">
        <v>211</v>
      </c>
      <c r="E1" s="10" t="s">
        <v>212</v>
      </c>
      <c r="F1" s="10" t="s">
        <v>213</v>
      </c>
      <c r="G1" s="6"/>
      <c r="H1" s="6"/>
      <c r="I1" s="22" t="s">
        <v>112</v>
      </c>
      <c r="J1" s="21"/>
      <c r="K1" s="21"/>
      <c r="L1" s="21"/>
      <c r="M1" s="21"/>
      <c r="N1" s="21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10" t="s">
        <v>24</v>
      </c>
      <c r="B2" s="10" t="s">
        <v>70</v>
      </c>
      <c r="C2" s="10" t="s">
        <v>71</v>
      </c>
      <c r="D2" s="10" t="s">
        <v>72</v>
      </c>
      <c r="E2" s="10" t="s">
        <v>73</v>
      </c>
      <c r="F2" s="10" t="s">
        <v>74</v>
      </c>
      <c r="G2" s="6"/>
      <c r="H2" s="4"/>
      <c r="I2" s="4" t="s">
        <v>113</v>
      </c>
      <c r="J2" s="4" t="s">
        <v>114</v>
      </c>
      <c r="K2" s="4" t="s">
        <v>115</v>
      </c>
      <c r="L2" s="4" t="s">
        <v>116</v>
      </c>
      <c r="M2" s="4" t="s">
        <v>117</v>
      </c>
      <c r="N2" s="4" t="s">
        <v>118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0" t="s">
        <v>75</v>
      </c>
      <c r="B3" s="4"/>
      <c r="C3" s="4"/>
      <c r="D3" s="4"/>
      <c r="E3" s="4"/>
      <c r="F3" s="4"/>
      <c r="G3" s="6"/>
      <c r="I3" s="10" t="s">
        <v>119</v>
      </c>
      <c r="J3" s="4">
        <v>37702</v>
      </c>
      <c r="K3" s="4">
        <f>'Income Statement'!C38</f>
        <v>10358</v>
      </c>
      <c r="L3" s="4">
        <v>-1146</v>
      </c>
      <c r="M3" s="4">
        <v>-49</v>
      </c>
      <c r="N3" s="10">
        <f t="shared" ref="N3:N7" si="0">SUM(J3:L3)</f>
        <v>46914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4" t="s">
        <v>76</v>
      </c>
      <c r="B4" s="4">
        <v>1198</v>
      </c>
      <c r="C4" s="4">
        <v>1221</v>
      </c>
      <c r="D4" s="5">
        <v>1221</v>
      </c>
      <c r="E4" s="4">
        <v>1248</v>
      </c>
      <c r="F4" s="4">
        <v>1247</v>
      </c>
      <c r="G4" s="6"/>
      <c r="H4" s="20"/>
      <c r="I4" s="10" t="s">
        <v>120</v>
      </c>
      <c r="J4" s="4">
        <v>50114</v>
      </c>
      <c r="K4" s="4">
        <f>'Income Statement'!D38</f>
        <v>32937</v>
      </c>
      <c r="L4" s="4">
        <v>-3020</v>
      </c>
      <c r="M4" s="4">
        <v>6</v>
      </c>
      <c r="N4" s="10">
        <f t="shared" si="0"/>
        <v>80031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77</v>
      </c>
      <c r="B5" s="4">
        <v>71044</v>
      </c>
      <c r="C5" s="20">
        <v>113222</v>
      </c>
      <c r="D5" s="5">
        <v>101861</v>
      </c>
      <c r="E5" s="4">
        <v>88857</v>
      </c>
      <c r="F5" s="4">
        <v>91105</v>
      </c>
      <c r="G5" s="6"/>
      <c r="H5" s="6"/>
      <c r="I5" s="10" t="s">
        <v>121</v>
      </c>
      <c r="J5" s="4">
        <v>80111</v>
      </c>
      <c r="K5" s="4">
        <f>'Income Statement'!E38</f>
        <v>19236</v>
      </c>
      <c r="L5" s="4">
        <v>-6242</v>
      </c>
      <c r="M5" s="4">
        <v>-223</v>
      </c>
      <c r="N5" s="10">
        <f t="shared" si="0"/>
        <v>93105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G6" s="6"/>
      <c r="H6" s="6"/>
      <c r="I6" s="10" t="s">
        <v>122</v>
      </c>
      <c r="J6" s="4">
        <v>89141</v>
      </c>
      <c r="K6" s="4">
        <f>'Income Statement'!F38</f>
        <v>19336</v>
      </c>
      <c r="L6" s="4">
        <v>-4490</v>
      </c>
      <c r="M6" s="4">
        <v>67</v>
      </c>
      <c r="N6" s="10">
        <f t="shared" si="0"/>
        <v>103987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4" t="s">
        <v>78</v>
      </c>
      <c r="B7" s="4">
        <v>1980</v>
      </c>
      <c r="C7" s="4">
        <v>2655</v>
      </c>
      <c r="D7" s="4">
        <v>2093</v>
      </c>
      <c r="E7" s="4">
        <v>2210</v>
      </c>
      <c r="F7" s="4">
        <v>168</v>
      </c>
      <c r="G7" s="6"/>
      <c r="H7" s="6"/>
      <c r="I7" s="10" t="s">
        <v>123</v>
      </c>
      <c r="J7" s="4">
        <v>100380</v>
      </c>
      <c r="K7" s="4">
        <f>'Income Statement'!G38</f>
        <v>23610</v>
      </c>
      <c r="L7" s="4">
        <v>-4494</v>
      </c>
      <c r="M7" s="4">
        <v>-127</v>
      </c>
      <c r="N7" s="10">
        <f t="shared" si="0"/>
        <v>119496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10" t="s">
        <v>79</v>
      </c>
      <c r="B8" s="10">
        <f t="shared" ref="B8:F8" si="1">SUM(B4:B7)</f>
        <v>74222</v>
      </c>
      <c r="C8" s="10">
        <f t="shared" si="1"/>
        <v>117098</v>
      </c>
      <c r="D8" s="10">
        <f t="shared" si="1"/>
        <v>105175</v>
      </c>
      <c r="E8" s="10">
        <f t="shared" si="1"/>
        <v>92315</v>
      </c>
      <c r="F8" s="10">
        <f t="shared" si="1"/>
        <v>92520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4"/>
      <c r="B9" s="4"/>
      <c r="C9" s="4"/>
      <c r="D9" s="4"/>
      <c r="E9" s="4"/>
      <c r="F9" s="4"/>
      <c r="G9" s="6"/>
      <c r="H9" s="6"/>
      <c r="I9" s="4"/>
      <c r="J9" s="4"/>
      <c r="K9" s="4"/>
      <c r="L9" s="4"/>
      <c r="M9" s="4"/>
      <c r="N9" s="4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10" t="s">
        <v>80</v>
      </c>
      <c r="B10" s="4"/>
      <c r="C10" s="4"/>
      <c r="D10" s="4"/>
      <c r="E10" s="4"/>
      <c r="F10" s="4"/>
      <c r="G10" s="6"/>
      <c r="H10" s="6"/>
      <c r="I10" s="10"/>
      <c r="J10" s="4"/>
      <c r="K10" s="4"/>
      <c r="L10" s="4"/>
      <c r="M10" s="4"/>
      <c r="N10" s="4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4" t="s">
        <v>81</v>
      </c>
      <c r="B11" s="4">
        <v>68206</v>
      </c>
      <c r="C11" s="4">
        <v>44764</v>
      </c>
      <c r="D11" s="4">
        <v>51446</v>
      </c>
      <c r="E11" s="4">
        <v>58410</v>
      </c>
      <c r="F11" s="4">
        <v>75492</v>
      </c>
      <c r="G11" s="6"/>
      <c r="H11" s="6"/>
      <c r="I11" s="4"/>
      <c r="J11" s="4"/>
      <c r="K11" s="4"/>
      <c r="L11" s="4"/>
      <c r="M11" s="4"/>
      <c r="N11" s="4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 t="s">
        <v>82</v>
      </c>
      <c r="B12" s="4">
        <v>5412</v>
      </c>
      <c r="C12" s="4">
        <v>5696</v>
      </c>
      <c r="D12" s="4">
        <v>5811</v>
      </c>
      <c r="E12" s="4">
        <v>6112</v>
      </c>
      <c r="F12" s="4">
        <v>6324</v>
      </c>
      <c r="G12" s="6"/>
      <c r="H12" s="6"/>
      <c r="I12" s="4"/>
      <c r="J12" s="4"/>
      <c r="K12" s="4"/>
      <c r="L12" s="4"/>
      <c r="M12" s="4"/>
      <c r="N12" s="4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4" t="s">
        <v>83</v>
      </c>
      <c r="B13" s="4">
        <v>785</v>
      </c>
      <c r="C13" s="4">
        <v>990</v>
      </c>
      <c r="D13" s="4">
        <v>1872</v>
      </c>
      <c r="E13" s="4">
        <v>1550</v>
      </c>
      <c r="F13" s="4">
        <v>1680</v>
      </c>
      <c r="G13" s="6"/>
      <c r="H13" s="6"/>
      <c r="I13" s="4"/>
      <c r="J13" s="4"/>
      <c r="K13" s="4"/>
      <c r="L13" s="4"/>
      <c r="M13" s="4"/>
      <c r="N13" s="4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4" t="s">
        <v>84</v>
      </c>
      <c r="B14" s="4">
        <v>2120</v>
      </c>
      <c r="C14" s="4">
        <v>2540</v>
      </c>
      <c r="D14" s="4">
        <v>2890</v>
      </c>
      <c r="E14" s="4">
        <v>3450</v>
      </c>
      <c r="F14" s="4">
        <v>3120</v>
      </c>
      <c r="G14" s="6"/>
      <c r="H14" s="6"/>
      <c r="I14" s="4"/>
      <c r="J14" s="4"/>
      <c r="K14" s="4"/>
      <c r="L14" s="4"/>
      <c r="M14" s="4"/>
      <c r="N14" s="4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4" t="s">
        <v>85</v>
      </c>
      <c r="B15" s="4">
        <v>5120</v>
      </c>
      <c r="C15" s="4">
        <v>22654</v>
      </c>
      <c r="D15" s="4">
        <v>22250</v>
      </c>
      <c r="E15" s="4">
        <v>15320</v>
      </c>
      <c r="F15" s="4">
        <v>14880</v>
      </c>
      <c r="G15" s="6"/>
      <c r="H15" s="6"/>
      <c r="I15" s="4"/>
      <c r="J15" s="4"/>
      <c r="K15" s="4"/>
      <c r="L15" s="4"/>
      <c r="M15" s="4"/>
      <c r="N15" s="4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4" t="s">
        <v>86</v>
      </c>
      <c r="B16" s="4">
        <v>1401</v>
      </c>
      <c r="C16" s="4">
        <v>1306</v>
      </c>
      <c r="D16" s="4">
        <v>1282</v>
      </c>
      <c r="E16" s="4">
        <v>1450</v>
      </c>
      <c r="F16" s="4">
        <v>1510</v>
      </c>
      <c r="G16" s="6"/>
      <c r="H16" s="6"/>
      <c r="I16" s="4"/>
      <c r="J16" s="4"/>
      <c r="K16" s="4"/>
      <c r="L16" s="4"/>
      <c r="M16" s="4"/>
      <c r="N16" s="4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10" t="s">
        <v>87</v>
      </c>
      <c r="B17" s="10">
        <f t="shared" ref="B17:F17" si="2">SUM(B11:B16)</f>
        <v>83044</v>
      </c>
      <c r="C17" s="10">
        <f t="shared" si="2"/>
        <v>77950</v>
      </c>
      <c r="D17" s="10">
        <f t="shared" si="2"/>
        <v>85551</v>
      </c>
      <c r="E17" s="10">
        <f t="shared" si="2"/>
        <v>86292</v>
      </c>
      <c r="F17" s="10">
        <f t="shared" si="2"/>
        <v>103006</v>
      </c>
      <c r="G17" s="6"/>
      <c r="H17" s="6"/>
      <c r="I17" s="10"/>
      <c r="J17" s="10"/>
      <c r="K17" s="10"/>
      <c r="L17" s="10"/>
      <c r="M17" s="10"/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4"/>
      <c r="B18" s="4"/>
      <c r="C18" s="4"/>
      <c r="D18" s="4"/>
      <c r="E18" s="4"/>
      <c r="F18" s="4"/>
      <c r="G18" s="6"/>
      <c r="H18" s="6"/>
      <c r="I18" s="4"/>
      <c r="J18" s="4"/>
      <c r="K18" s="4"/>
      <c r="L18" s="4"/>
      <c r="M18" s="4"/>
      <c r="N18" s="4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10" t="s">
        <v>88</v>
      </c>
      <c r="B19" s="4"/>
      <c r="C19" s="4"/>
      <c r="D19" s="4"/>
      <c r="E19" s="4"/>
      <c r="F19" s="4"/>
      <c r="G19" s="6"/>
      <c r="H19" s="6"/>
      <c r="I19" s="10"/>
      <c r="J19" s="4"/>
      <c r="K19" s="4"/>
      <c r="L19" s="4"/>
      <c r="M19" s="4"/>
      <c r="N19" s="4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4" t="s">
        <v>81</v>
      </c>
      <c r="B20" s="4">
        <v>13634</v>
      </c>
      <c r="C20" s="4">
        <v>15220</v>
      </c>
      <c r="D20" s="4">
        <v>18220</v>
      </c>
      <c r="E20" s="4">
        <v>22110</v>
      </c>
      <c r="F20" s="4">
        <v>19309</v>
      </c>
      <c r="G20" s="6"/>
      <c r="H20" s="6"/>
      <c r="I20" s="4"/>
      <c r="J20" s="4"/>
      <c r="K20" s="4"/>
      <c r="L20" s="4"/>
      <c r="M20" s="4"/>
      <c r="N20" s="4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4" t="s">
        <v>89</v>
      </c>
      <c r="B21" s="4">
        <v>27526</v>
      </c>
      <c r="C21" s="4">
        <v>35420</v>
      </c>
      <c r="D21" s="4">
        <v>38110</v>
      </c>
      <c r="E21" s="4">
        <v>40220</v>
      </c>
      <c r="F21" s="4">
        <v>38980</v>
      </c>
      <c r="G21" s="6"/>
      <c r="H21" s="6"/>
      <c r="I21" s="4"/>
      <c r="J21" s="4"/>
      <c r="K21" s="4"/>
      <c r="L21" s="4"/>
      <c r="M21" s="4"/>
      <c r="N21" s="4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4" t="s">
        <v>90</v>
      </c>
      <c r="B22" s="4">
        <v>46064</v>
      </c>
      <c r="C22" s="4">
        <v>39757</v>
      </c>
      <c r="D22" s="4">
        <v>40965</v>
      </c>
      <c r="E22" s="4">
        <v>32483</v>
      </c>
      <c r="F22" s="4">
        <v>26575</v>
      </c>
      <c r="G22" s="6"/>
      <c r="H22" s="6"/>
      <c r="I22" s="4"/>
      <c r="J22" s="4"/>
      <c r="K22" s="4"/>
      <c r="L22" s="4"/>
      <c r="M22" s="4"/>
      <c r="N22" s="4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10" t="s">
        <v>91</v>
      </c>
      <c r="B23" s="10">
        <f t="shared" ref="B23:F23" si="3">SUM(B20:B22)</f>
        <v>87224</v>
      </c>
      <c r="C23" s="10">
        <f t="shared" si="3"/>
        <v>90397</v>
      </c>
      <c r="D23" s="10">
        <f t="shared" si="3"/>
        <v>97295</v>
      </c>
      <c r="E23" s="10">
        <f t="shared" si="3"/>
        <v>94813</v>
      </c>
      <c r="F23" s="10">
        <f t="shared" si="3"/>
        <v>84864</v>
      </c>
      <c r="G23" s="6"/>
      <c r="H23" s="6"/>
      <c r="I23" s="10"/>
      <c r="J23" s="10"/>
      <c r="K23" s="10"/>
      <c r="L23" s="10"/>
      <c r="M23" s="10"/>
      <c r="N23" s="10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4"/>
      <c r="B24" s="4"/>
      <c r="C24" s="4"/>
      <c r="D24" s="4"/>
      <c r="E24" s="4"/>
      <c r="F24" s="4"/>
      <c r="G24" s="6"/>
      <c r="H24" s="6"/>
      <c r="I24" s="4"/>
      <c r="J24" s="4"/>
      <c r="K24" s="4"/>
      <c r="L24" s="4"/>
      <c r="M24" s="4"/>
      <c r="N24" s="4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10" t="s">
        <v>92</v>
      </c>
      <c r="B25" s="10">
        <f t="shared" ref="B25:F25" si="4">B17+B23</f>
        <v>170268</v>
      </c>
      <c r="C25" s="10">
        <f t="shared" si="4"/>
        <v>168347</v>
      </c>
      <c r="D25" s="10">
        <f t="shared" si="4"/>
        <v>182846</v>
      </c>
      <c r="E25" s="10">
        <f t="shared" si="4"/>
        <v>181105</v>
      </c>
      <c r="F25" s="10">
        <f t="shared" si="4"/>
        <v>187870</v>
      </c>
      <c r="G25" s="6"/>
      <c r="H25" s="6"/>
      <c r="I25" s="10"/>
      <c r="J25" s="10"/>
      <c r="K25" s="10"/>
      <c r="L25" s="10"/>
      <c r="M25" s="10"/>
      <c r="N25" s="1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10" t="s">
        <v>93</v>
      </c>
      <c r="B26" s="10">
        <f t="shared" ref="B26:F26" si="5">B8+B25</f>
        <v>244490</v>
      </c>
      <c r="C26" s="10">
        <f t="shared" si="5"/>
        <v>285445</v>
      </c>
      <c r="D26" s="10">
        <f t="shared" si="5"/>
        <v>288021</v>
      </c>
      <c r="E26" s="10">
        <f t="shared" si="5"/>
        <v>273420</v>
      </c>
      <c r="F26" s="10">
        <f t="shared" si="5"/>
        <v>280390</v>
      </c>
      <c r="G26" s="6"/>
      <c r="H26" s="6"/>
      <c r="I26" s="10"/>
      <c r="J26" s="10"/>
      <c r="K26" s="10"/>
      <c r="L26" s="10"/>
      <c r="M26" s="10"/>
      <c r="N26" s="10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10" t="s">
        <v>94</v>
      </c>
      <c r="B28" s="4">
        <v>2021</v>
      </c>
      <c r="C28" s="4">
        <v>2022</v>
      </c>
      <c r="D28" s="4">
        <v>2023</v>
      </c>
      <c r="E28" s="4">
        <v>2024</v>
      </c>
      <c r="F28" s="4">
        <v>2025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10" t="s">
        <v>95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4" t="s">
        <v>96</v>
      </c>
      <c r="B30" s="5">
        <v>105208</v>
      </c>
      <c r="C30" s="5">
        <v>116166</v>
      </c>
      <c r="D30" s="5">
        <v>118697</v>
      </c>
      <c r="E30" s="5">
        <v>121120</v>
      </c>
      <c r="F30" s="5">
        <v>125215</v>
      </c>
      <c r="G30" s="6"/>
      <c r="H30" s="6"/>
      <c r="I30" s="10"/>
      <c r="J30" s="4"/>
      <c r="K30" s="4"/>
      <c r="L30" s="4"/>
      <c r="M30" s="4"/>
      <c r="N30" s="4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4" t="s">
        <v>97</v>
      </c>
      <c r="B31" s="4">
        <v>19120</v>
      </c>
      <c r="C31" s="4">
        <v>21228</v>
      </c>
      <c r="D31" s="4">
        <v>30308</v>
      </c>
      <c r="E31" s="4">
        <v>32450</v>
      </c>
      <c r="F31" s="4">
        <v>36948</v>
      </c>
      <c r="G31" s="6"/>
      <c r="H31" s="6"/>
      <c r="I31" s="4"/>
      <c r="J31" s="4"/>
      <c r="K31" s="4"/>
      <c r="L31" s="4"/>
      <c r="M31" s="4"/>
      <c r="N31" s="4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4" t="s">
        <v>98</v>
      </c>
      <c r="B32" s="4">
        <v>8245</v>
      </c>
      <c r="C32" s="4">
        <v>8338</v>
      </c>
      <c r="D32" s="4">
        <v>9223</v>
      </c>
      <c r="E32" s="4">
        <v>9880</v>
      </c>
      <c r="F32" s="4">
        <v>10210</v>
      </c>
      <c r="G32" s="6"/>
      <c r="H32" s="6"/>
      <c r="I32" s="4"/>
      <c r="J32" s="4"/>
      <c r="K32" s="4"/>
      <c r="L32" s="4"/>
      <c r="M32" s="4"/>
      <c r="N32" s="4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4" t="s">
        <v>99</v>
      </c>
      <c r="B33" s="4">
        <v>4210</v>
      </c>
      <c r="C33" s="4">
        <v>4311</v>
      </c>
      <c r="D33" s="4">
        <v>5602</v>
      </c>
      <c r="E33" s="4">
        <v>1196</v>
      </c>
      <c r="F33" s="4">
        <v>1196</v>
      </c>
      <c r="G33" s="6"/>
      <c r="H33" s="6"/>
      <c r="I33" s="4"/>
      <c r="J33" s="4"/>
      <c r="K33" s="4"/>
      <c r="L33" s="4"/>
      <c r="M33" s="4"/>
      <c r="N33" s="4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4" t="s">
        <v>100</v>
      </c>
      <c r="B34" s="4">
        <v>3920</v>
      </c>
      <c r="C34" s="4">
        <v>4472</v>
      </c>
      <c r="D34" s="4">
        <v>13101</v>
      </c>
      <c r="E34" s="4">
        <v>14210</v>
      </c>
      <c r="F34" s="4">
        <v>15450</v>
      </c>
      <c r="G34" s="6"/>
      <c r="H34" s="6"/>
      <c r="I34" s="4"/>
      <c r="J34" s="4"/>
      <c r="K34" s="4"/>
      <c r="L34" s="4"/>
      <c r="M34" s="4"/>
      <c r="N34" s="4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4" t="s">
        <v>101</v>
      </c>
      <c r="B35" s="4">
        <v>3120</v>
      </c>
      <c r="C35" s="4">
        <v>2962</v>
      </c>
      <c r="D35" s="4">
        <v>3233</v>
      </c>
      <c r="E35" s="4">
        <v>3550</v>
      </c>
      <c r="F35" s="4">
        <v>3880</v>
      </c>
      <c r="G35" s="6"/>
      <c r="H35" s="6"/>
      <c r="I35" s="4"/>
      <c r="J35" s="4"/>
      <c r="K35" s="4"/>
      <c r="L35" s="4"/>
      <c r="M35" s="4"/>
      <c r="N35" s="4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4" t="s">
        <v>102</v>
      </c>
      <c r="B36" s="4">
        <v>38874</v>
      </c>
      <c r="C36" s="4">
        <v>35411</v>
      </c>
      <c r="D36" s="4">
        <v>21192</v>
      </c>
      <c r="E36" s="4">
        <v>20464</v>
      </c>
      <c r="F36" s="4">
        <v>14168</v>
      </c>
      <c r="G36" s="6"/>
      <c r="H36" s="6"/>
      <c r="I36" s="4"/>
      <c r="J36" s="4"/>
      <c r="K36" s="4"/>
      <c r="L36" s="4"/>
      <c r="M36" s="4"/>
      <c r="N36" s="4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10" t="s">
        <v>103</v>
      </c>
      <c r="B37" s="10">
        <f t="shared" ref="B37:F37" si="6">SUM(B30:B36)</f>
        <v>182697</v>
      </c>
      <c r="C37" s="10">
        <f t="shared" si="6"/>
        <v>192888</v>
      </c>
      <c r="D37" s="10">
        <f t="shared" si="6"/>
        <v>201356</v>
      </c>
      <c r="E37" s="10">
        <f t="shared" si="6"/>
        <v>202870</v>
      </c>
      <c r="F37" s="10">
        <f t="shared" si="6"/>
        <v>207067</v>
      </c>
      <c r="G37" s="6"/>
      <c r="H37" s="6"/>
      <c r="I37" s="4"/>
      <c r="J37" s="4"/>
      <c r="K37" s="4"/>
      <c r="L37" s="4"/>
      <c r="M37" s="4"/>
      <c r="N37" s="4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4"/>
      <c r="B38" s="4"/>
      <c r="C38" s="4"/>
      <c r="D38" s="4"/>
      <c r="E38" s="4"/>
      <c r="F38" s="4"/>
      <c r="G38" s="6"/>
      <c r="H38" s="6"/>
      <c r="I38" s="10"/>
      <c r="J38" s="10"/>
      <c r="K38" s="10"/>
      <c r="L38" s="10"/>
      <c r="M38" s="10"/>
      <c r="N38" s="10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10" t="s">
        <v>104</v>
      </c>
      <c r="B39" s="4"/>
      <c r="C39" s="4"/>
      <c r="D39" s="4"/>
      <c r="E39" s="4"/>
      <c r="F39" s="4"/>
      <c r="G39" s="6"/>
      <c r="H39" s="6"/>
      <c r="I39" s="4"/>
      <c r="J39" s="4"/>
      <c r="K39" s="4"/>
      <c r="L39" s="4"/>
      <c r="M39" s="4"/>
      <c r="N39" s="4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4" t="s">
        <v>105</v>
      </c>
      <c r="B40" s="4">
        <v>28278</v>
      </c>
      <c r="C40" s="4">
        <v>48824</v>
      </c>
      <c r="D40" s="4">
        <v>54415</v>
      </c>
      <c r="E40" s="4">
        <v>49210</v>
      </c>
      <c r="F40" s="4">
        <v>50490</v>
      </c>
      <c r="G40" s="6"/>
      <c r="H40" s="6"/>
      <c r="I40" s="10"/>
      <c r="J40" s="4"/>
      <c r="K40" s="4"/>
      <c r="L40" s="4"/>
      <c r="M40" s="4"/>
      <c r="N40" s="4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4" t="s">
        <v>106</v>
      </c>
      <c r="B41" s="4">
        <v>9530</v>
      </c>
      <c r="C41" s="4">
        <v>12246</v>
      </c>
      <c r="D41" s="4">
        <v>8257</v>
      </c>
      <c r="E41" s="4">
        <v>7650</v>
      </c>
      <c r="F41" s="4">
        <v>7810</v>
      </c>
      <c r="G41" s="6"/>
      <c r="H41" s="6"/>
      <c r="I41" s="4"/>
      <c r="J41" s="4"/>
      <c r="K41" s="4"/>
      <c r="L41" s="4"/>
      <c r="M41" s="4"/>
      <c r="N41" s="4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4" t="s">
        <v>107</v>
      </c>
      <c r="B42" s="4">
        <v>5782</v>
      </c>
      <c r="C42" s="4">
        <v>15605</v>
      </c>
      <c r="D42" s="4">
        <v>12130</v>
      </c>
      <c r="E42" s="4">
        <v>6240</v>
      </c>
      <c r="F42" s="4">
        <v>12222</v>
      </c>
      <c r="G42" s="6"/>
      <c r="H42" s="6"/>
      <c r="I42" s="4"/>
      <c r="J42" s="4"/>
      <c r="K42" s="4"/>
      <c r="L42" s="4"/>
      <c r="M42" s="4"/>
      <c r="N42" s="4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4" t="s">
        <v>108</v>
      </c>
      <c r="B43" s="4">
        <v>7240</v>
      </c>
      <c r="C43" s="4">
        <v>294</v>
      </c>
      <c r="D43" s="4">
        <v>1227</v>
      </c>
      <c r="E43" s="4">
        <v>1110</v>
      </c>
      <c r="F43" s="4">
        <v>2120</v>
      </c>
      <c r="G43" s="6"/>
      <c r="H43" s="6"/>
      <c r="I43" s="4"/>
      <c r="J43" s="4"/>
      <c r="K43" s="4"/>
      <c r="L43" s="4"/>
      <c r="M43" s="4"/>
      <c r="N43" s="4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4" t="s">
        <v>109</v>
      </c>
      <c r="B44" s="4">
        <v>10963</v>
      </c>
      <c r="C44" s="4">
        <v>15588</v>
      </c>
      <c r="D44" s="4">
        <v>10636</v>
      </c>
      <c r="E44" s="4">
        <v>6340</v>
      </c>
      <c r="F44" s="4">
        <v>-319</v>
      </c>
      <c r="G44" s="6"/>
      <c r="H44" s="6"/>
      <c r="I44" s="4"/>
      <c r="J44" s="4"/>
      <c r="K44" s="4"/>
      <c r="L44" s="4"/>
      <c r="M44" s="4"/>
      <c r="N44" s="4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10" t="s">
        <v>110</v>
      </c>
      <c r="B45" s="10">
        <f t="shared" ref="B45:F45" si="7">SUM(B40:B44)</f>
        <v>61793</v>
      </c>
      <c r="C45" s="10">
        <f t="shared" si="7"/>
        <v>92557</v>
      </c>
      <c r="D45" s="10">
        <f t="shared" si="7"/>
        <v>86665</v>
      </c>
      <c r="E45" s="10">
        <f t="shared" si="7"/>
        <v>70550</v>
      </c>
      <c r="F45" s="10">
        <f t="shared" si="7"/>
        <v>72323</v>
      </c>
      <c r="G45" s="6"/>
      <c r="H45" s="6"/>
      <c r="I45" s="4"/>
      <c r="J45" s="4"/>
      <c r="K45" s="4"/>
      <c r="L45" s="4"/>
      <c r="M45" s="4"/>
      <c r="N45" s="4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4"/>
      <c r="B46" s="4"/>
      <c r="C46" s="4"/>
      <c r="D46" s="4"/>
      <c r="E46" s="4"/>
      <c r="F46" s="4"/>
      <c r="G46" s="6"/>
      <c r="H46" s="6"/>
      <c r="I46" s="10"/>
      <c r="J46" s="10"/>
      <c r="K46" s="10"/>
      <c r="L46" s="10"/>
      <c r="M46" s="10"/>
      <c r="N46" s="10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10" t="s">
        <v>111</v>
      </c>
      <c r="B47" s="10">
        <f t="shared" ref="B47:F47" si="8">B37+B45</f>
        <v>244490</v>
      </c>
      <c r="C47" s="10">
        <f t="shared" si="8"/>
        <v>285445</v>
      </c>
      <c r="D47" s="10">
        <f t="shared" si="8"/>
        <v>288021</v>
      </c>
      <c r="E47" s="10">
        <f t="shared" si="8"/>
        <v>273420</v>
      </c>
      <c r="F47" s="10">
        <f t="shared" si="8"/>
        <v>279390</v>
      </c>
      <c r="G47" s="6"/>
      <c r="H47" s="6"/>
      <c r="I47" s="4"/>
      <c r="J47" s="4"/>
      <c r="K47" s="4"/>
      <c r="L47" s="4"/>
      <c r="M47" s="4"/>
      <c r="N47" s="4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10"/>
      <c r="J48" s="10"/>
      <c r="K48" s="10"/>
      <c r="L48" s="10"/>
      <c r="M48" s="10"/>
      <c r="N48" s="10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115"/>
      <c r="B49" s="115"/>
      <c r="C49" s="115"/>
      <c r="D49" s="115"/>
      <c r="E49" s="115"/>
      <c r="F49" s="11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105"/>
      <c r="B50" s="105"/>
      <c r="C50" s="105"/>
      <c r="D50" s="105"/>
      <c r="E50" s="105"/>
      <c r="F50" s="105"/>
      <c r="G50" s="6"/>
      <c r="H50" s="4"/>
      <c r="I50" s="4"/>
      <c r="J50" s="4"/>
      <c r="K50" s="4"/>
      <c r="L50" s="4"/>
      <c r="M50" s="4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105"/>
      <c r="B51" s="105"/>
      <c r="C51" s="105"/>
      <c r="D51" s="105"/>
      <c r="E51" s="105"/>
      <c r="F51" s="105"/>
      <c r="G51" s="6"/>
      <c r="H51" s="10"/>
      <c r="I51" s="4"/>
      <c r="J51" s="4"/>
      <c r="K51" s="4"/>
      <c r="L51" s="4"/>
      <c r="M51" s="10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105"/>
      <c r="B52" s="105"/>
      <c r="C52" s="105"/>
      <c r="D52" s="105"/>
      <c r="E52" s="105"/>
      <c r="F52" s="105"/>
      <c r="G52" s="6"/>
      <c r="H52" s="10"/>
      <c r="I52" s="4"/>
      <c r="J52" s="4"/>
      <c r="K52" s="4"/>
      <c r="L52" s="4"/>
      <c r="M52" s="10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105"/>
      <c r="B53" s="105"/>
      <c r="C53" s="105"/>
      <c r="D53" s="105"/>
      <c r="E53" s="105"/>
      <c r="F53" s="105"/>
      <c r="G53" s="6"/>
      <c r="H53" s="10"/>
      <c r="I53" s="4"/>
      <c r="J53" s="4"/>
      <c r="K53" s="4"/>
      <c r="L53" s="4"/>
      <c r="M53" s="1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105"/>
      <c r="B54" s="105"/>
      <c r="C54" s="105"/>
      <c r="D54" s="105"/>
      <c r="E54" s="105"/>
      <c r="F54" s="105"/>
      <c r="G54" s="6"/>
      <c r="H54" s="10"/>
      <c r="I54" s="4"/>
      <c r="J54" s="4"/>
      <c r="K54" s="4"/>
      <c r="L54" s="4"/>
      <c r="M54" s="10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105"/>
      <c r="B55" s="105"/>
      <c r="C55" s="105"/>
      <c r="D55" s="105"/>
      <c r="E55" s="105"/>
      <c r="F55" s="105"/>
      <c r="G55" s="6"/>
      <c r="H55" s="10"/>
      <c r="I55" s="4"/>
      <c r="J55" s="4"/>
      <c r="K55" s="4"/>
      <c r="L55" s="4"/>
      <c r="M55" s="10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105"/>
      <c r="B56" s="105"/>
      <c r="C56" s="105"/>
      <c r="D56" s="105"/>
      <c r="E56" s="105"/>
      <c r="F56" s="10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honeticPr fontId="21" type="noConversion"/>
  <conditionalFormatting sqref="I3:N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{BC5BEB2A-DE4B-4995-86EB-80E077FD8C02}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5BEB2A-DE4B-4995-86EB-80E077FD8C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I3:N8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68"/>
  <sheetViews>
    <sheetView zoomScale="67" workbookViewId="0">
      <selection activeCell="L13" sqref="L13"/>
    </sheetView>
  </sheetViews>
  <sheetFormatPr defaultColWidth="12.6640625" defaultRowHeight="15.75" customHeight="1"/>
  <cols>
    <col min="3" max="4" width="14.88671875" customWidth="1"/>
  </cols>
  <sheetData>
    <row r="1" spans="1:16" ht="15.75" customHeight="1">
      <c r="A1" s="128" t="s">
        <v>216</v>
      </c>
      <c r="B1" s="129"/>
      <c r="C1" s="129"/>
      <c r="D1" s="129"/>
      <c r="E1" s="129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.75" customHeight="1">
      <c r="A2" s="23"/>
      <c r="B2" s="24"/>
      <c r="C2" s="24"/>
      <c r="D2" s="24"/>
      <c r="E2" s="24"/>
      <c r="F2" s="24"/>
      <c r="G2" s="24"/>
      <c r="H2" s="8"/>
      <c r="I2" s="8"/>
      <c r="J2" s="8"/>
      <c r="K2" s="8"/>
      <c r="L2" s="8"/>
      <c r="M2" s="8"/>
      <c r="N2" s="8"/>
      <c r="O2" s="8"/>
      <c r="P2" s="8"/>
    </row>
    <row r="3" spans="1:16" ht="15.75" customHeight="1">
      <c r="A3" s="92" t="s">
        <v>24</v>
      </c>
      <c r="B3" s="93" t="s">
        <v>124</v>
      </c>
      <c r="C3" s="94" t="s">
        <v>125</v>
      </c>
      <c r="D3" s="94" t="s">
        <v>126</v>
      </c>
      <c r="E3" s="94" t="s">
        <v>72</v>
      </c>
      <c r="F3" s="94" t="s">
        <v>71</v>
      </c>
      <c r="G3" s="95" t="s">
        <v>70</v>
      </c>
      <c r="H3" s="8"/>
      <c r="I3" s="26"/>
      <c r="J3" s="27"/>
      <c r="K3" s="27"/>
      <c r="L3" s="8"/>
      <c r="M3" s="8"/>
      <c r="N3" s="8"/>
      <c r="O3" s="8"/>
      <c r="P3" s="8"/>
    </row>
    <row r="4" spans="1:16" ht="15.75" customHeight="1">
      <c r="A4" s="86" t="s">
        <v>127</v>
      </c>
      <c r="B4" s="29"/>
      <c r="C4" s="28" t="s">
        <v>128</v>
      </c>
      <c r="D4" s="28" t="s">
        <v>128</v>
      </c>
      <c r="E4" s="28" t="s">
        <v>128</v>
      </c>
      <c r="F4" s="28" t="s">
        <v>128</v>
      </c>
      <c r="G4" s="88"/>
      <c r="H4" s="8"/>
      <c r="I4" s="116" t="s">
        <v>129</v>
      </c>
      <c r="J4" s="117">
        <v>10122</v>
      </c>
      <c r="K4" s="117">
        <v>-10604</v>
      </c>
      <c r="L4" s="117">
        <v>16913</v>
      </c>
      <c r="M4" s="117">
        <v>52223</v>
      </c>
      <c r="N4" s="117">
        <v>13858</v>
      </c>
      <c r="O4" s="8"/>
      <c r="P4" s="8"/>
    </row>
    <row r="5" spans="1:16" ht="15.75" customHeight="1">
      <c r="A5" s="87" t="s">
        <v>130</v>
      </c>
      <c r="B5" s="29"/>
      <c r="C5" s="30">
        <v>10122</v>
      </c>
      <c r="D5" s="30">
        <v>-10604</v>
      </c>
      <c r="E5" s="30">
        <v>16913</v>
      </c>
      <c r="F5" s="30">
        <v>52223</v>
      </c>
      <c r="G5" s="89">
        <v>13858</v>
      </c>
      <c r="H5" s="8"/>
      <c r="I5" s="116" t="s">
        <v>131</v>
      </c>
      <c r="J5" s="117">
        <v>-15671</v>
      </c>
      <c r="K5" s="117">
        <v>-16244</v>
      </c>
      <c r="L5" s="117">
        <v>-18207</v>
      </c>
      <c r="M5" s="117">
        <v>-10522</v>
      </c>
      <c r="N5" s="117">
        <v>-6975</v>
      </c>
      <c r="O5" s="8"/>
      <c r="P5" s="8"/>
    </row>
    <row r="6" spans="1:16" ht="15.75" customHeight="1">
      <c r="A6" s="86" t="s">
        <v>132</v>
      </c>
      <c r="B6" s="29"/>
      <c r="C6" s="28" t="s">
        <v>128</v>
      </c>
      <c r="D6" s="28" t="s">
        <v>128</v>
      </c>
      <c r="E6" s="28" t="s">
        <v>128</v>
      </c>
      <c r="F6" s="28" t="s">
        <v>128</v>
      </c>
      <c r="G6" s="88"/>
      <c r="H6" s="8"/>
      <c r="I6" s="118" t="s">
        <v>215</v>
      </c>
      <c r="J6" s="117">
        <f t="shared" ref="J6:N6" si="0">SUM(J4:J5)</f>
        <v>-5549</v>
      </c>
      <c r="K6" s="117">
        <f t="shared" si="0"/>
        <v>-26848</v>
      </c>
      <c r="L6" s="117">
        <f t="shared" si="0"/>
        <v>-1294</v>
      </c>
      <c r="M6" s="117">
        <f t="shared" si="0"/>
        <v>41701</v>
      </c>
      <c r="N6" s="117">
        <f t="shared" si="0"/>
        <v>6883</v>
      </c>
      <c r="O6" s="8"/>
      <c r="P6" s="8"/>
    </row>
    <row r="7" spans="1:16" ht="15.75" customHeight="1">
      <c r="A7" s="87" t="s">
        <v>133</v>
      </c>
      <c r="B7" s="29"/>
      <c r="C7" s="30">
        <v>10421</v>
      </c>
      <c r="D7" s="30">
        <v>9882</v>
      </c>
      <c r="E7" s="30">
        <v>9335</v>
      </c>
      <c r="F7" s="30">
        <v>9101</v>
      </c>
      <c r="G7" s="89">
        <v>9234</v>
      </c>
      <c r="H7" s="8"/>
      <c r="I7" s="8"/>
      <c r="J7" s="8"/>
      <c r="K7" s="8"/>
      <c r="L7" s="8"/>
      <c r="M7" s="8"/>
      <c r="N7" s="8"/>
      <c r="O7" s="8"/>
      <c r="P7" s="8"/>
    </row>
    <row r="8" spans="1:16" ht="15.75" customHeight="1">
      <c r="A8" s="87" t="s">
        <v>134</v>
      </c>
      <c r="B8" s="29"/>
      <c r="C8" s="30">
        <v>7341</v>
      </c>
      <c r="D8" s="30">
        <v>7508</v>
      </c>
      <c r="E8" s="30">
        <v>6299</v>
      </c>
      <c r="F8" s="30">
        <v>5463</v>
      </c>
      <c r="G8" s="89">
        <v>7607</v>
      </c>
      <c r="H8" s="8"/>
      <c r="I8" s="8"/>
      <c r="J8" s="8"/>
      <c r="K8" s="8"/>
      <c r="L8" s="8"/>
      <c r="M8" s="8"/>
      <c r="N8" s="8"/>
      <c r="O8" s="8"/>
      <c r="P8" s="8"/>
    </row>
    <row r="9" spans="1:16" ht="15.75" customHeight="1">
      <c r="A9" s="87" t="s">
        <v>135</v>
      </c>
      <c r="B9" s="29"/>
      <c r="C9" s="30">
        <v>-1540</v>
      </c>
      <c r="D9" s="30">
        <v>-1837</v>
      </c>
      <c r="E9" s="30">
        <v>-1021</v>
      </c>
      <c r="F9" s="31">
        <v>-854</v>
      </c>
      <c r="G9" s="90">
        <v>-722</v>
      </c>
      <c r="H9" s="8"/>
      <c r="I9" s="8"/>
      <c r="J9" s="8"/>
      <c r="K9" s="8"/>
      <c r="L9" s="8"/>
      <c r="M9" s="8"/>
      <c r="N9" s="8"/>
      <c r="O9" s="8"/>
      <c r="P9" s="8"/>
    </row>
    <row r="10" spans="1:16" ht="15.75" customHeight="1">
      <c r="A10" s="87" t="s">
        <v>136</v>
      </c>
      <c r="B10" s="29"/>
      <c r="C10" s="30">
        <v>1245</v>
      </c>
      <c r="D10" s="30">
        <v>11215</v>
      </c>
      <c r="E10" s="31">
        <v>845</v>
      </c>
      <c r="F10" s="31">
        <v>652</v>
      </c>
      <c r="G10" s="89">
        <v>4210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15.75" customHeight="1">
      <c r="A11" s="86" t="s">
        <v>137</v>
      </c>
      <c r="B11" s="25"/>
      <c r="C11" s="32">
        <f t="shared" ref="C11:G11" si="1">SUM(C5:C10)</f>
        <v>27589</v>
      </c>
      <c r="D11" s="32">
        <f t="shared" si="1"/>
        <v>16164</v>
      </c>
      <c r="E11" s="32">
        <f t="shared" si="1"/>
        <v>32371</v>
      </c>
      <c r="F11" s="32">
        <f t="shared" si="1"/>
        <v>66585</v>
      </c>
      <c r="G11" s="91">
        <f t="shared" si="1"/>
        <v>34187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15.75" customHeight="1">
      <c r="A12" s="87" t="s">
        <v>138</v>
      </c>
      <c r="B12" s="29"/>
      <c r="C12" s="31" t="s">
        <v>128</v>
      </c>
      <c r="D12" s="31" t="s">
        <v>128</v>
      </c>
      <c r="E12" s="31" t="s">
        <v>128</v>
      </c>
      <c r="F12" s="31" t="s">
        <v>128</v>
      </c>
      <c r="G12" s="90"/>
      <c r="H12" s="8"/>
      <c r="I12" s="8"/>
      <c r="J12" s="8"/>
      <c r="K12" s="8"/>
      <c r="L12" s="8"/>
      <c r="M12" s="8"/>
      <c r="N12" s="8"/>
      <c r="O12" s="8"/>
      <c r="P12" s="8"/>
    </row>
    <row r="13" spans="1:16" ht="15.75" customHeight="1">
      <c r="A13" s="87" t="s">
        <v>139</v>
      </c>
      <c r="B13" s="29"/>
      <c r="C13" s="31">
        <v>504</v>
      </c>
      <c r="D13" s="30">
        <v>-1520</v>
      </c>
      <c r="E13" s="30">
        <v>-1230</v>
      </c>
      <c r="F13" s="30">
        <v>-2345</v>
      </c>
      <c r="G13" s="89">
        <v>1234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15.75" customHeight="1">
      <c r="A14" s="87" t="s">
        <v>140</v>
      </c>
      <c r="B14" s="29"/>
      <c r="C14" s="30">
        <v>2130</v>
      </c>
      <c r="D14" s="30">
        <v>-3240</v>
      </c>
      <c r="E14" s="30">
        <v>-4560</v>
      </c>
      <c r="F14" s="30">
        <v>-11432</v>
      </c>
      <c r="G14" s="89">
        <v>6543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15.75" customHeight="1">
      <c r="A15" s="87" t="s">
        <v>141</v>
      </c>
      <c r="B15" s="29"/>
      <c r="C15" s="30">
        <v>-1240</v>
      </c>
      <c r="D15" s="30">
        <v>10240</v>
      </c>
      <c r="E15" s="30">
        <v>-3210</v>
      </c>
      <c r="F15" s="30">
        <v>-2120</v>
      </c>
      <c r="G15" s="89">
        <v>4512</v>
      </c>
      <c r="H15" s="8"/>
      <c r="I15" s="8"/>
      <c r="J15" s="8"/>
      <c r="K15" s="33"/>
      <c r="L15" s="8"/>
      <c r="M15" s="8"/>
      <c r="N15" s="8"/>
      <c r="O15" s="8"/>
      <c r="P15" s="8"/>
    </row>
    <row r="16" spans="1:16" ht="15.75" customHeight="1">
      <c r="A16" s="86" t="s">
        <v>142</v>
      </c>
      <c r="B16" s="29"/>
      <c r="C16" s="32">
        <f t="shared" ref="C16:G16" si="2">SUM(C11:C15)</f>
        <v>28983</v>
      </c>
      <c r="D16" s="32">
        <f t="shared" si="2"/>
        <v>21644</v>
      </c>
      <c r="E16" s="32">
        <f t="shared" si="2"/>
        <v>23371</v>
      </c>
      <c r="F16" s="32">
        <f t="shared" si="2"/>
        <v>50688</v>
      </c>
      <c r="G16" s="91">
        <f t="shared" si="2"/>
        <v>46476</v>
      </c>
      <c r="H16" s="8"/>
      <c r="I16" s="7"/>
      <c r="J16" s="8"/>
      <c r="K16" s="8"/>
      <c r="L16" s="8"/>
      <c r="M16" s="8"/>
      <c r="N16" s="8"/>
      <c r="O16" s="8"/>
      <c r="P16" s="8"/>
    </row>
    <row r="17" spans="1:16" ht="15.75" customHeight="1">
      <c r="A17" s="86" t="s">
        <v>143</v>
      </c>
      <c r="B17" s="29"/>
      <c r="C17" s="32">
        <v>-5471</v>
      </c>
      <c r="D17" s="32">
        <v>-1343</v>
      </c>
      <c r="E17" s="32">
        <v>-1688</v>
      </c>
      <c r="F17" s="32">
        <v>-6307</v>
      </c>
      <c r="G17" s="91">
        <v>-2155</v>
      </c>
      <c r="H17" s="8"/>
      <c r="I17" s="7"/>
      <c r="J17" s="7"/>
      <c r="K17" s="7"/>
      <c r="L17" s="7"/>
      <c r="M17" s="7"/>
      <c r="N17" s="7"/>
      <c r="O17" s="8"/>
      <c r="P17" s="8"/>
    </row>
    <row r="18" spans="1:16" ht="15.75" customHeight="1">
      <c r="A18" s="87" t="s">
        <v>144</v>
      </c>
      <c r="B18" s="29"/>
      <c r="C18" s="30">
        <f t="shared" ref="C18:G18" si="3">SUM(C16:C17)</f>
        <v>23512</v>
      </c>
      <c r="D18" s="30">
        <f t="shared" si="3"/>
        <v>20301</v>
      </c>
      <c r="E18" s="30">
        <f t="shared" si="3"/>
        <v>21683</v>
      </c>
      <c r="F18" s="30">
        <f t="shared" si="3"/>
        <v>44381</v>
      </c>
      <c r="G18" s="89">
        <f t="shared" si="3"/>
        <v>44321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15.75" customHeight="1">
      <c r="A19" s="87" t="s">
        <v>145</v>
      </c>
      <c r="B19" s="29"/>
      <c r="C19" s="31" t="s">
        <v>145</v>
      </c>
      <c r="D19" s="31" t="s">
        <v>145</v>
      </c>
      <c r="E19" s="31" t="s">
        <v>145</v>
      </c>
      <c r="F19" s="31" t="s">
        <v>145</v>
      </c>
      <c r="G19" s="90" t="s">
        <v>145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15.75" customHeight="1">
      <c r="A20" s="87" t="s">
        <v>146</v>
      </c>
      <c r="B20" s="29"/>
      <c r="C20" s="31" t="s">
        <v>128</v>
      </c>
      <c r="D20" s="31" t="s">
        <v>128</v>
      </c>
      <c r="E20" s="31" t="s">
        <v>128</v>
      </c>
      <c r="F20" s="31" t="s">
        <v>128</v>
      </c>
      <c r="G20" s="90"/>
      <c r="H20" s="8"/>
      <c r="I20" s="8"/>
      <c r="J20" s="8"/>
      <c r="K20" s="8"/>
      <c r="L20" s="8"/>
      <c r="M20" s="8"/>
      <c r="N20" s="8"/>
      <c r="O20" s="8"/>
      <c r="P20" s="8"/>
    </row>
    <row r="21" spans="1:16" ht="15.75" customHeight="1">
      <c r="A21" s="87" t="s">
        <v>147</v>
      </c>
      <c r="B21" s="29"/>
      <c r="C21" s="30">
        <v>-15671</v>
      </c>
      <c r="D21" s="30">
        <v>-16244</v>
      </c>
      <c r="E21" s="30">
        <v>-18207</v>
      </c>
      <c r="F21" s="30">
        <v>-10522</v>
      </c>
      <c r="G21" s="89">
        <v>-6975</v>
      </c>
      <c r="H21" s="8"/>
      <c r="I21" s="7"/>
      <c r="J21" s="8"/>
      <c r="K21" s="8"/>
      <c r="L21" s="8"/>
      <c r="M21" s="8"/>
      <c r="N21" s="8"/>
      <c r="O21" s="8"/>
      <c r="P21" s="8"/>
    </row>
    <row r="22" spans="1:16" ht="15.75" customHeight="1">
      <c r="A22" s="87" t="s">
        <v>148</v>
      </c>
      <c r="B22" s="29"/>
      <c r="C22" s="31">
        <v>450</v>
      </c>
      <c r="D22" s="31">
        <v>320</v>
      </c>
      <c r="E22" s="31">
        <v>150</v>
      </c>
      <c r="F22" s="31">
        <v>254</v>
      </c>
      <c r="G22" s="89">
        <v>4560</v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15.75" customHeight="1">
      <c r="A23" s="86" t="s">
        <v>149</v>
      </c>
      <c r="B23" s="29"/>
      <c r="C23" s="32">
        <v>1048</v>
      </c>
      <c r="D23" s="32">
        <v>1673</v>
      </c>
      <c r="E23" s="28">
        <v>921</v>
      </c>
      <c r="F23" s="28">
        <v>682</v>
      </c>
      <c r="G23" s="88">
        <v>530</v>
      </c>
      <c r="H23" s="8"/>
      <c r="I23" s="7"/>
      <c r="J23" s="8"/>
      <c r="K23" s="8"/>
      <c r="L23" s="8"/>
      <c r="M23" s="8"/>
      <c r="N23" s="8"/>
      <c r="O23" s="8"/>
      <c r="P23" s="8"/>
    </row>
    <row r="24" spans="1:16" ht="15.75" customHeight="1">
      <c r="A24" s="87" t="s">
        <v>150</v>
      </c>
      <c r="B24" s="29"/>
      <c r="C24" s="31" t="s">
        <v>151</v>
      </c>
      <c r="D24" s="31" t="s">
        <v>151</v>
      </c>
      <c r="E24" s="30">
        <v>-1544</v>
      </c>
      <c r="F24" s="30">
        <v>-1295</v>
      </c>
      <c r="G24" s="90" t="s">
        <v>151</v>
      </c>
      <c r="H24" s="8"/>
      <c r="I24" s="7"/>
      <c r="J24" s="7"/>
      <c r="K24" s="7"/>
      <c r="L24" s="7"/>
      <c r="M24" s="7"/>
      <c r="N24" s="7"/>
      <c r="O24" s="8"/>
      <c r="P24" s="8"/>
    </row>
    <row r="25" spans="1:16" ht="15.75" customHeight="1">
      <c r="A25" s="86" t="s">
        <v>152</v>
      </c>
      <c r="B25" s="29"/>
      <c r="C25" s="32">
        <f t="shared" ref="C25:G25" si="4">SUM(C21:C24)</f>
        <v>-14173</v>
      </c>
      <c r="D25" s="32">
        <f t="shared" si="4"/>
        <v>-14251</v>
      </c>
      <c r="E25" s="32">
        <f t="shared" si="4"/>
        <v>-18680</v>
      </c>
      <c r="F25" s="32">
        <f t="shared" si="4"/>
        <v>-10881</v>
      </c>
      <c r="G25" s="91">
        <f t="shared" si="4"/>
        <v>-1885</v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15.75" customHeight="1">
      <c r="A26" s="87" t="s">
        <v>145</v>
      </c>
      <c r="B26" s="29"/>
      <c r="C26" s="31" t="s">
        <v>145</v>
      </c>
      <c r="D26" s="31" t="s">
        <v>145</v>
      </c>
      <c r="E26" s="31" t="s">
        <v>145</v>
      </c>
      <c r="F26" s="31" t="s">
        <v>145</v>
      </c>
      <c r="G26" s="90" t="s">
        <v>145</v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14.4">
      <c r="A27" s="87" t="s">
        <v>153</v>
      </c>
      <c r="B27" s="29"/>
      <c r="C27" s="31" t="s">
        <v>128</v>
      </c>
      <c r="D27" s="31" t="s">
        <v>128</v>
      </c>
      <c r="E27" s="31" t="s">
        <v>128</v>
      </c>
      <c r="F27" s="31" t="s">
        <v>128</v>
      </c>
      <c r="G27" s="90"/>
      <c r="H27" s="26"/>
      <c r="I27" s="8"/>
      <c r="J27" s="8"/>
      <c r="K27" s="8"/>
      <c r="L27" s="8"/>
      <c r="M27" s="8"/>
      <c r="N27" s="8"/>
      <c r="O27" s="8"/>
      <c r="P27" s="8"/>
    </row>
    <row r="28" spans="1:16" ht="14.4">
      <c r="A28" s="87" t="s">
        <v>154</v>
      </c>
      <c r="B28" s="29"/>
      <c r="C28" s="30">
        <v>3000</v>
      </c>
      <c r="D28" s="31" t="s">
        <v>151</v>
      </c>
      <c r="E28" s="31" t="s">
        <v>151</v>
      </c>
      <c r="F28" s="31" t="s">
        <v>151</v>
      </c>
      <c r="G28" s="90" t="s">
        <v>151</v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14.4">
      <c r="A29" s="87" t="s">
        <v>155</v>
      </c>
      <c r="B29" s="29"/>
      <c r="C29" s="30">
        <v>-2150</v>
      </c>
      <c r="D29" s="30">
        <v>-3589</v>
      </c>
      <c r="E29" s="30">
        <v>1340</v>
      </c>
      <c r="F29" s="30">
        <v>-17450</v>
      </c>
      <c r="G29" s="89">
        <v>-26450</v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14.4">
      <c r="A30" s="87" t="s">
        <v>156</v>
      </c>
      <c r="B30" s="29"/>
      <c r="C30" s="30">
        <v>-4492</v>
      </c>
      <c r="D30" s="30">
        <v>-4492</v>
      </c>
      <c r="E30" s="30">
        <v>-6211</v>
      </c>
      <c r="F30" s="30">
        <v>-3021</v>
      </c>
      <c r="G30" s="89">
        <v>-1154</v>
      </c>
      <c r="H30" s="8"/>
      <c r="I30" s="8"/>
      <c r="J30" s="8"/>
      <c r="K30" s="8"/>
      <c r="L30" s="8"/>
      <c r="M30" s="8"/>
      <c r="N30" s="8"/>
      <c r="O30" s="33"/>
      <c r="P30" s="33"/>
    </row>
    <row r="31" spans="1:16" ht="14.4">
      <c r="A31" s="87" t="s">
        <v>157</v>
      </c>
      <c r="B31" s="29"/>
      <c r="C31" s="30">
        <v>-3360</v>
      </c>
      <c r="D31" s="30">
        <v>-3016</v>
      </c>
      <c r="E31" s="30">
        <v>-2110</v>
      </c>
      <c r="F31" s="30">
        <v>-2930</v>
      </c>
      <c r="G31" s="89">
        <v>-6534</v>
      </c>
      <c r="H31" s="8"/>
      <c r="I31" s="7"/>
      <c r="J31" s="7"/>
      <c r="K31" s="7"/>
      <c r="L31" s="7"/>
      <c r="M31" s="7"/>
      <c r="N31" s="7"/>
      <c r="O31" s="33"/>
      <c r="P31" s="33"/>
    </row>
    <row r="32" spans="1:16" ht="14.4">
      <c r="A32" s="86" t="s">
        <v>158</v>
      </c>
      <c r="B32" s="29"/>
      <c r="C32" s="32">
        <f t="shared" ref="C32:G32" si="5">SUM(C28:C31)</f>
        <v>-7002</v>
      </c>
      <c r="D32" s="32">
        <f t="shared" si="5"/>
        <v>-11097</v>
      </c>
      <c r="E32" s="32">
        <f t="shared" si="5"/>
        <v>-6981</v>
      </c>
      <c r="F32" s="32">
        <f t="shared" si="5"/>
        <v>-23401</v>
      </c>
      <c r="G32" s="91">
        <f t="shared" si="5"/>
        <v>-34138</v>
      </c>
      <c r="H32" s="8"/>
      <c r="I32" s="33"/>
      <c r="J32" s="8"/>
      <c r="K32" s="8"/>
      <c r="L32" s="8"/>
      <c r="M32" s="8"/>
      <c r="N32" s="8"/>
      <c r="O32" s="33"/>
      <c r="P32" s="8"/>
    </row>
    <row r="33" spans="1:16" ht="14.4">
      <c r="A33" s="87" t="s">
        <v>145</v>
      </c>
      <c r="B33" s="29"/>
      <c r="C33" s="31" t="s">
        <v>145</v>
      </c>
      <c r="D33" s="31" t="s">
        <v>145</v>
      </c>
      <c r="E33" s="31" t="s">
        <v>145</v>
      </c>
      <c r="F33" s="31" t="s">
        <v>145</v>
      </c>
      <c r="G33" s="90" t="s">
        <v>145</v>
      </c>
      <c r="H33" s="8"/>
      <c r="I33" s="7"/>
      <c r="J33" s="7"/>
      <c r="K33" s="7"/>
      <c r="L33" s="7"/>
      <c r="M33" s="7"/>
      <c r="N33" s="7"/>
      <c r="O33" s="33"/>
      <c r="P33" s="33"/>
    </row>
    <row r="34" spans="1:16" ht="14.4">
      <c r="A34" s="86" t="s">
        <v>159</v>
      </c>
      <c r="B34" s="29"/>
      <c r="C34" s="32">
        <f t="shared" ref="C34:G34" si="6">C18+C25+C32</f>
        <v>2337</v>
      </c>
      <c r="D34" s="32">
        <f t="shared" si="6"/>
        <v>-5047</v>
      </c>
      <c r="E34" s="32">
        <f t="shared" si="6"/>
        <v>-3978</v>
      </c>
      <c r="F34" s="32">
        <f t="shared" si="6"/>
        <v>10099</v>
      </c>
      <c r="G34" s="91">
        <f t="shared" si="6"/>
        <v>8298</v>
      </c>
      <c r="H34" s="99"/>
      <c r="I34" s="8"/>
      <c r="J34" s="8"/>
      <c r="K34" s="8"/>
      <c r="L34" s="8"/>
      <c r="M34" s="8"/>
      <c r="N34" s="8"/>
      <c r="O34" s="8"/>
      <c r="P34" s="8"/>
    </row>
    <row r="35" spans="1:16" ht="14.4">
      <c r="A35" s="87" t="s">
        <v>160</v>
      </c>
      <c r="B35" s="29"/>
      <c r="C35" s="30">
        <v>9698</v>
      </c>
      <c r="D35" s="30">
        <v>14745</v>
      </c>
      <c r="E35" s="30">
        <v>18724</v>
      </c>
      <c r="F35" s="30">
        <v>8624</v>
      </c>
      <c r="G35" s="90">
        <v>326</v>
      </c>
      <c r="H35" s="8"/>
      <c r="I35" s="8"/>
      <c r="J35" s="8"/>
      <c r="K35" s="8"/>
      <c r="L35" s="8"/>
      <c r="M35" s="8"/>
      <c r="N35" s="8"/>
      <c r="O35" s="8"/>
      <c r="P35" s="8"/>
    </row>
    <row r="36" spans="1:16" ht="14.4">
      <c r="A36" s="87" t="s">
        <v>161</v>
      </c>
      <c r="B36" s="29"/>
      <c r="C36" s="31">
        <v>187</v>
      </c>
      <c r="D36" s="31" t="s">
        <v>151</v>
      </c>
      <c r="E36" s="31" t="s">
        <v>151</v>
      </c>
      <c r="F36" s="31" t="s">
        <v>151</v>
      </c>
      <c r="G36" s="90" t="s">
        <v>151</v>
      </c>
      <c r="H36" s="8"/>
      <c r="I36" s="8"/>
      <c r="J36" s="8"/>
      <c r="K36" s="8"/>
      <c r="L36" s="8"/>
      <c r="M36" s="8"/>
      <c r="N36" s="8"/>
      <c r="O36" s="8"/>
      <c r="P36" s="8"/>
    </row>
    <row r="37" spans="1:16" ht="14.4">
      <c r="A37" s="96" t="s">
        <v>162</v>
      </c>
      <c r="B37" s="34"/>
      <c r="C37" s="97">
        <v>12222</v>
      </c>
      <c r="D37" s="97">
        <v>9698</v>
      </c>
      <c r="E37" s="97">
        <v>14746</v>
      </c>
      <c r="F37" s="97">
        <v>18724</v>
      </c>
      <c r="G37" s="98">
        <v>8624</v>
      </c>
      <c r="H37" s="7"/>
      <c r="I37" s="8"/>
      <c r="J37" s="8"/>
      <c r="K37" s="8"/>
      <c r="L37" s="8"/>
      <c r="M37" s="8"/>
      <c r="N37" s="8"/>
      <c r="O37" s="8"/>
      <c r="P37" s="8"/>
    </row>
    <row r="38" spans="1:16" ht="14.4">
      <c r="A38" s="8"/>
      <c r="B38" s="5"/>
      <c r="C38" s="8"/>
      <c r="D38" s="33"/>
      <c r="E38" s="33"/>
      <c r="F38" s="33"/>
      <c r="G38" s="33"/>
      <c r="H38" s="8"/>
      <c r="I38" s="8"/>
      <c r="J38" s="8"/>
      <c r="K38" s="8"/>
      <c r="L38" s="8"/>
      <c r="M38" s="8"/>
      <c r="N38" s="8"/>
      <c r="O38" s="8"/>
      <c r="P38" s="8"/>
    </row>
    <row r="39" spans="1:16" ht="14.4">
      <c r="A39" s="8"/>
      <c r="C39" s="8"/>
      <c r="D39" s="33"/>
      <c r="E39" s="33"/>
      <c r="F39" s="33"/>
      <c r="G39" s="33"/>
      <c r="H39" s="8"/>
      <c r="I39" s="7"/>
      <c r="J39" s="7"/>
      <c r="K39" s="7"/>
      <c r="L39" s="7"/>
      <c r="M39" s="7"/>
      <c r="N39" s="7"/>
      <c r="O39" s="8"/>
      <c r="P39" s="8"/>
    </row>
    <row r="40" spans="1:16" ht="14.4">
      <c r="C40" s="8"/>
      <c r="D40" s="27"/>
      <c r="E40" s="27"/>
      <c r="F40" s="27"/>
      <c r="G40" s="27"/>
      <c r="H40" s="8"/>
      <c r="I40" s="8"/>
      <c r="J40" s="7"/>
      <c r="K40" s="8"/>
      <c r="L40" s="27"/>
      <c r="M40" s="27"/>
      <c r="N40" s="27"/>
      <c r="O40" s="27"/>
      <c r="P40" s="7"/>
    </row>
    <row r="41" spans="1:16" ht="14.4">
      <c r="A41" s="8"/>
      <c r="C41" s="8"/>
      <c r="D41" s="8"/>
      <c r="E41" s="8"/>
      <c r="F41" s="8"/>
      <c r="G41" s="8"/>
      <c r="H41" s="8"/>
      <c r="I41" s="7"/>
      <c r="J41" s="7"/>
      <c r="K41" s="7"/>
      <c r="L41" s="7"/>
      <c r="M41" s="7"/>
      <c r="N41" s="7"/>
      <c r="O41" s="8"/>
      <c r="P41" s="8"/>
    </row>
    <row r="42" spans="1:16" ht="14.4">
      <c r="A42" s="7"/>
      <c r="C42" s="8"/>
      <c r="D42" s="35"/>
      <c r="E42" s="35"/>
      <c r="F42" s="35"/>
      <c r="G42" s="35"/>
      <c r="H42" s="8"/>
      <c r="I42" s="7"/>
      <c r="J42" s="7"/>
      <c r="K42" s="7"/>
      <c r="L42" s="7"/>
      <c r="M42" s="7"/>
      <c r="N42" s="7"/>
      <c r="O42" s="8"/>
      <c r="P42" s="33"/>
    </row>
    <row r="43" spans="1:16" ht="14.4">
      <c r="A43" s="8"/>
      <c r="C43" s="8"/>
      <c r="D43" s="36"/>
      <c r="E43" s="36"/>
      <c r="F43" s="36"/>
      <c r="G43" s="36"/>
      <c r="H43" s="8"/>
      <c r="I43" s="8"/>
      <c r="J43" s="8"/>
      <c r="K43" s="8"/>
      <c r="L43" s="8"/>
      <c r="M43" s="8"/>
      <c r="N43" s="8"/>
      <c r="O43" s="33"/>
      <c r="P43" s="8"/>
    </row>
    <row r="44" spans="1:16" ht="14.4">
      <c r="A44" s="8"/>
      <c r="C44" s="8"/>
      <c r="D44" s="36"/>
      <c r="E44" s="36"/>
      <c r="F44" s="36"/>
      <c r="G44" s="36"/>
      <c r="H44" s="8"/>
      <c r="I44" s="8"/>
      <c r="J44" s="8"/>
      <c r="K44" s="8"/>
      <c r="L44" s="8"/>
      <c r="M44" s="8"/>
      <c r="N44" s="8"/>
      <c r="O44" s="33"/>
      <c r="P44" s="8"/>
    </row>
    <row r="45" spans="1:16" ht="14.4">
      <c r="A45" s="7"/>
      <c r="C45" s="8"/>
      <c r="D45" s="36"/>
      <c r="E45" s="36"/>
      <c r="F45" s="36"/>
      <c r="G45" s="36"/>
      <c r="H45" s="8"/>
      <c r="I45" s="7"/>
      <c r="J45" s="7"/>
      <c r="K45" s="7"/>
      <c r="L45" s="7"/>
      <c r="M45" s="7"/>
      <c r="N45" s="7"/>
      <c r="O45" s="33"/>
      <c r="P45" s="8"/>
    </row>
    <row r="46" spans="1:16" ht="14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33"/>
      <c r="O46" s="33"/>
      <c r="P46" s="8"/>
    </row>
    <row r="47" spans="1:16" ht="14.4">
      <c r="A47" s="7" t="s">
        <v>124</v>
      </c>
      <c r="B47" s="7" t="s">
        <v>163</v>
      </c>
      <c r="C47" s="8"/>
      <c r="D47" s="8"/>
      <c r="E47" s="8"/>
      <c r="F47" s="8"/>
      <c r="G47" s="8"/>
      <c r="H47" s="8"/>
      <c r="I47" s="8"/>
      <c r="J47" s="7"/>
      <c r="K47" s="8"/>
      <c r="L47" s="27"/>
      <c r="M47" s="27"/>
      <c r="N47" s="27"/>
      <c r="O47" s="27"/>
      <c r="P47" s="27"/>
    </row>
    <row r="48" spans="1:16" ht="14.4">
      <c r="A48" s="31" t="s">
        <v>164</v>
      </c>
      <c r="B48" s="37">
        <v>-975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ht="14.4">
      <c r="A49" s="8"/>
      <c r="B49" s="8"/>
      <c r="C49" s="8"/>
      <c r="D49" s="8"/>
      <c r="E49" s="8"/>
      <c r="F49" s="8"/>
      <c r="G49" s="8"/>
      <c r="H49" s="8"/>
      <c r="I49" s="8"/>
      <c r="J49" s="7"/>
      <c r="K49" s="27"/>
      <c r="L49" s="27"/>
      <c r="M49" s="8"/>
      <c r="N49" s="8"/>
      <c r="O49" s="8"/>
      <c r="P49" s="8"/>
    </row>
    <row r="50" spans="1:16" ht="14.4">
      <c r="B50" s="8"/>
      <c r="C50" s="8"/>
      <c r="D50" s="8"/>
      <c r="E50" s="8"/>
      <c r="F50" s="8"/>
      <c r="G50" s="8"/>
      <c r="H50" s="8"/>
      <c r="I50" s="8"/>
      <c r="J50" s="8"/>
      <c r="K50" s="8"/>
      <c r="L50" s="33"/>
      <c r="M50" s="33"/>
      <c r="N50" s="8"/>
      <c r="O50" s="33"/>
      <c r="P50" s="33"/>
    </row>
    <row r="51" spans="1:16" ht="14.4">
      <c r="B51" s="8"/>
      <c r="C51" s="8"/>
      <c r="D51" s="8"/>
      <c r="E51" s="8"/>
      <c r="F51" s="8"/>
      <c r="G51" s="8"/>
      <c r="H51" s="8"/>
      <c r="I51" s="8"/>
      <c r="J51" s="8"/>
      <c r="K51" s="8"/>
      <c r="L51" s="33"/>
      <c r="M51" s="33"/>
      <c r="N51" s="8"/>
      <c r="O51" s="33"/>
      <c r="P51" s="33"/>
    </row>
    <row r="52" spans="1:16" ht="14.4">
      <c r="B52" s="33">
        <v>45.51</v>
      </c>
      <c r="C52" s="8"/>
      <c r="D52" s="8"/>
      <c r="E52" s="8"/>
      <c r="F52" s="8"/>
      <c r="G52" s="8"/>
      <c r="H52" s="8"/>
      <c r="I52" s="8"/>
      <c r="J52" s="7"/>
      <c r="K52" s="8"/>
      <c r="L52" s="27"/>
      <c r="M52" s="27"/>
      <c r="N52" s="7"/>
      <c r="O52" s="27"/>
      <c r="P52" s="27"/>
    </row>
    <row r="53" spans="1:16" ht="14.4">
      <c r="B53" s="33">
        <v>18.72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ht="14.4">
      <c r="B54" s="33">
        <v>113.73</v>
      </c>
      <c r="C54" s="8"/>
      <c r="D54" s="8"/>
      <c r="E54" s="8"/>
      <c r="F54" s="8"/>
      <c r="G54" s="8"/>
      <c r="H54" s="8"/>
      <c r="I54" s="8"/>
      <c r="J54" s="7"/>
      <c r="K54" s="8"/>
      <c r="L54" s="27"/>
      <c r="M54" s="27"/>
      <c r="N54" s="8"/>
      <c r="O54" s="8"/>
      <c r="P54" s="8"/>
    </row>
    <row r="55" spans="1:16" ht="14.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33"/>
      <c r="M55" s="33"/>
      <c r="N55" s="8"/>
      <c r="O55" s="8"/>
      <c r="P55" s="8"/>
    </row>
    <row r="56" spans="1:16" ht="14.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33"/>
      <c r="M56" s="33"/>
      <c r="N56" s="8"/>
      <c r="O56" s="8"/>
      <c r="P56" s="8"/>
    </row>
    <row r="57" spans="1:16" ht="14.4">
      <c r="A57" s="8"/>
      <c r="B57" s="8"/>
      <c r="C57" s="8"/>
      <c r="D57" s="8"/>
      <c r="E57" s="8"/>
      <c r="F57" s="8"/>
      <c r="G57" s="8"/>
      <c r="H57" s="8"/>
      <c r="I57" s="8"/>
      <c r="J57" s="7"/>
      <c r="K57" s="8"/>
      <c r="L57" s="27"/>
      <c r="M57" s="27"/>
      <c r="N57" s="7"/>
      <c r="O57" s="7"/>
      <c r="P57" s="7"/>
    </row>
    <row r="58" spans="1:16" ht="14.4">
      <c r="A58" s="8"/>
      <c r="B58" s="8"/>
      <c r="C58" s="8"/>
      <c r="D58" s="8"/>
      <c r="E58" s="8"/>
      <c r="F58" s="8"/>
      <c r="G58" s="8"/>
      <c r="H58" s="8"/>
      <c r="I58" s="8"/>
      <c r="J58" s="8"/>
      <c r="K58" s="33"/>
      <c r="L58" s="8"/>
      <c r="M58" s="8"/>
      <c r="N58" s="8"/>
      <c r="O58" s="8"/>
      <c r="P58" s="8"/>
    </row>
    <row r="59" spans="1:16" ht="14.4">
      <c r="A59" s="8"/>
      <c r="B59" s="8"/>
      <c r="C59" s="8"/>
      <c r="D59" s="8"/>
      <c r="E59" s="8"/>
      <c r="F59" s="8"/>
      <c r="G59" s="8"/>
      <c r="H59" s="8"/>
      <c r="I59" s="8"/>
      <c r="J59" s="8"/>
      <c r="K59" s="33"/>
      <c r="L59" s="8"/>
      <c r="M59" s="8"/>
      <c r="N59" s="8"/>
      <c r="O59" s="8"/>
      <c r="P59" s="8"/>
    </row>
    <row r="60" spans="1:16" ht="14.4">
      <c r="A60" s="8"/>
      <c r="B60" s="8"/>
      <c r="C60" s="8"/>
      <c r="D60" s="8"/>
      <c r="E60" s="8"/>
      <c r="F60" s="8"/>
      <c r="G60" s="8"/>
      <c r="H60" s="8"/>
      <c r="I60" s="8"/>
      <c r="J60" s="8"/>
      <c r="K60" s="33"/>
      <c r="L60" s="8"/>
      <c r="M60" s="8"/>
      <c r="N60" s="8"/>
      <c r="O60" s="8"/>
      <c r="P60" s="8"/>
    </row>
    <row r="61" spans="1:16" ht="14.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ht="14.4">
      <c r="A62" s="8"/>
      <c r="B62" s="8"/>
      <c r="C62" s="8"/>
      <c r="D62" s="8"/>
      <c r="E62" s="8"/>
      <c r="F62" s="8"/>
      <c r="G62" s="8"/>
      <c r="H62" s="8"/>
      <c r="I62" s="8"/>
      <c r="J62" s="8"/>
      <c r="K62" s="33"/>
      <c r="L62" s="8"/>
      <c r="M62" s="8"/>
      <c r="N62" s="8"/>
      <c r="O62" s="8"/>
      <c r="P62" s="8"/>
    </row>
    <row r="63" spans="1:16" ht="14.4">
      <c r="A63" s="8"/>
      <c r="B63" s="8"/>
      <c r="C63" s="8"/>
      <c r="D63" s="8"/>
      <c r="E63" s="8"/>
      <c r="F63" s="8"/>
      <c r="G63" s="8"/>
      <c r="H63" s="8"/>
      <c r="I63" s="8"/>
      <c r="J63" s="8"/>
      <c r="K63" s="33"/>
      <c r="L63" s="8"/>
      <c r="M63" s="8"/>
      <c r="N63" s="8"/>
      <c r="O63" s="8"/>
      <c r="P63" s="8"/>
    </row>
    <row r="64" spans="1:16" ht="14.4">
      <c r="A64" s="8"/>
      <c r="B64" s="8"/>
      <c r="C64" s="8"/>
      <c r="D64" s="8"/>
      <c r="E64" s="8"/>
      <c r="F64" s="8"/>
      <c r="G64" s="8"/>
      <c r="H64" s="8"/>
      <c r="I64" s="8"/>
      <c r="J64" s="7"/>
      <c r="K64" s="8"/>
      <c r="L64" s="8"/>
      <c r="M64" s="8"/>
      <c r="N64" s="8"/>
      <c r="O64" s="8"/>
      <c r="P64" s="8"/>
    </row>
    <row r="65" spans="1:16" ht="14.4">
      <c r="A65" s="8"/>
      <c r="B65" s="8"/>
      <c r="C65" s="8"/>
      <c r="D65" s="8"/>
      <c r="E65" s="8"/>
      <c r="F65" s="8"/>
      <c r="G65" s="8"/>
      <c r="H65" s="8"/>
      <c r="I65" s="8"/>
      <c r="J65" s="26"/>
      <c r="K65" s="27"/>
      <c r="L65" s="8"/>
      <c r="M65" s="8"/>
      <c r="N65" s="8"/>
      <c r="O65" s="8"/>
      <c r="P65" s="8"/>
    </row>
    <row r="66" spans="1:16" ht="14.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ht="14.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ht="14.4">
      <c r="A68" s="8"/>
      <c r="B68" s="8"/>
      <c r="C68" s="8"/>
      <c r="D68" s="8"/>
      <c r="E68" s="8"/>
      <c r="F68" s="8"/>
      <c r="G68" s="8"/>
      <c r="H68" s="8"/>
      <c r="I68" s="8"/>
      <c r="J68" s="7"/>
      <c r="K68" s="8"/>
      <c r="L68" s="8"/>
      <c r="M68" s="8"/>
      <c r="N68" s="8"/>
      <c r="O68" s="8"/>
      <c r="P68" s="8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34"/>
  <sheetViews>
    <sheetView zoomScale="62" workbookViewId="0">
      <selection activeCell="L20" sqref="L20"/>
    </sheetView>
  </sheetViews>
  <sheetFormatPr defaultColWidth="12.6640625" defaultRowHeight="15.75" customHeight="1"/>
  <cols>
    <col min="2" max="2" width="13.44140625" customWidth="1"/>
    <col min="3" max="3" width="20" customWidth="1"/>
    <col min="5" max="6" width="14.77734375" customWidth="1"/>
    <col min="7" max="7" width="25.77734375" customWidth="1"/>
    <col min="8" max="8" width="13.6640625" customWidth="1"/>
    <col min="9" max="9" width="20.44140625" customWidth="1"/>
    <col min="10" max="10" width="20.77734375" customWidth="1"/>
  </cols>
  <sheetData>
    <row r="1" spans="1:14" ht="13.2">
      <c r="A1" s="38" t="s">
        <v>165</v>
      </c>
      <c r="B1" s="38" t="s">
        <v>166</v>
      </c>
      <c r="C1" s="38" t="s">
        <v>167</v>
      </c>
      <c r="D1" s="38" t="s">
        <v>168</v>
      </c>
      <c r="E1" s="38" t="s">
        <v>169</v>
      </c>
      <c r="F1" s="38" t="s">
        <v>170</v>
      </c>
      <c r="G1" s="38" t="s">
        <v>171</v>
      </c>
      <c r="H1" s="38" t="s">
        <v>172</v>
      </c>
      <c r="I1" s="38" t="s">
        <v>173</v>
      </c>
      <c r="J1" s="38" t="s">
        <v>174</v>
      </c>
      <c r="K1" s="38" t="s">
        <v>175</v>
      </c>
    </row>
    <row r="2" spans="1:14" ht="13.2">
      <c r="A2" s="39" t="s">
        <v>70</v>
      </c>
      <c r="B2" s="39" t="s">
        <v>176</v>
      </c>
      <c r="C2" s="40">
        <v>192442</v>
      </c>
      <c r="D2" s="40">
        <v>7842</v>
      </c>
      <c r="E2" s="40">
        <v>-4321</v>
      </c>
      <c r="F2" s="40">
        <f t="shared" ref="F2:F4" si="0">SUM(C2:E2)</f>
        <v>195963</v>
      </c>
      <c r="G2" s="40">
        <v>79540</v>
      </c>
      <c r="H2" s="40">
        <v>9234</v>
      </c>
      <c r="I2" s="41">
        <v>88774</v>
      </c>
      <c r="J2" s="42">
        <f t="shared" ref="J2:J25" si="1">F2-I2</f>
        <v>107189</v>
      </c>
      <c r="K2" s="43" t="s">
        <v>177</v>
      </c>
      <c r="M2" s="44"/>
      <c r="N2" s="3"/>
    </row>
    <row r="3" spans="1:14" ht="13.2">
      <c r="A3" s="45" t="s">
        <v>178</v>
      </c>
      <c r="B3" s="45" t="s">
        <v>179</v>
      </c>
      <c r="C3" s="46">
        <v>32450</v>
      </c>
      <c r="D3" s="46">
        <v>450</v>
      </c>
      <c r="E3" s="46">
        <v>-120</v>
      </c>
      <c r="F3" s="46">
        <f t="shared" si="0"/>
        <v>32780</v>
      </c>
      <c r="G3" s="46">
        <v>5120</v>
      </c>
      <c r="H3" s="46">
        <v>850</v>
      </c>
      <c r="I3" s="47">
        <v>5970</v>
      </c>
      <c r="J3" s="40">
        <f t="shared" si="1"/>
        <v>26810</v>
      </c>
      <c r="K3" s="48" t="s">
        <v>180</v>
      </c>
    </row>
    <row r="4" spans="1:14" ht="13.2">
      <c r="A4" s="39" t="s">
        <v>181</v>
      </c>
      <c r="B4" s="39" t="s">
        <v>182</v>
      </c>
      <c r="C4" s="40">
        <v>151200</v>
      </c>
      <c r="D4" s="40">
        <v>6800</v>
      </c>
      <c r="E4" s="40">
        <v>-3950</v>
      </c>
      <c r="F4" s="40">
        <f t="shared" si="0"/>
        <v>154050</v>
      </c>
      <c r="G4" s="40">
        <v>68400</v>
      </c>
      <c r="H4" s="40">
        <v>7800</v>
      </c>
      <c r="I4" s="41">
        <v>76200</v>
      </c>
      <c r="J4" s="40">
        <f t="shared" si="1"/>
        <v>77850</v>
      </c>
      <c r="K4" s="49" t="s">
        <v>183</v>
      </c>
    </row>
    <row r="5" spans="1:14" ht="13.2">
      <c r="A5" s="45" t="s">
        <v>184</v>
      </c>
      <c r="B5" s="45" t="s">
        <v>185</v>
      </c>
      <c r="C5" s="46">
        <v>11792</v>
      </c>
      <c r="D5" s="46">
        <v>592</v>
      </c>
      <c r="E5" s="46">
        <v>-251</v>
      </c>
      <c r="F5" s="46">
        <v>12133</v>
      </c>
      <c r="G5" s="46">
        <v>6020</v>
      </c>
      <c r="H5" s="46">
        <v>584</v>
      </c>
      <c r="I5" s="47">
        <v>6604</v>
      </c>
      <c r="J5" s="40">
        <f t="shared" si="1"/>
        <v>5529</v>
      </c>
      <c r="K5" s="50" t="s">
        <v>186</v>
      </c>
    </row>
    <row r="6" spans="1:14" ht="13.2">
      <c r="A6" s="39"/>
      <c r="B6" s="39"/>
      <c r="C6" s="42"/>
      <c r="D6" s="42"/>
      <c r="E6" s="42"/>
      <c r="F6" s="42"/>
      <c r="G6" s="42"/>
      <c r="H6" s="42"/>
      <c r="I6" s="41"/>
      <c r="J6" s="40">
        <f t="shared" si="1"/>
        <v>0</v>
      </c>
      <c r="K6" s="43"/>
    </row>
    <row r="7" spans="1:14" ht="13.2">
      <c r="A7" s="45" t="s">
        <v>71</v>
      </c>
      <c r="B7" s="45" t="s">
        <v>176</v>
      </c>
      <c r="C7" s="46">
        <v>198963</v>
      </c>
      <c r="D7" s="46">
        <v>10522</v>
      </c>
      <c r="E7" s="46">
        <v>-3115</v>
      </c>
      <c r="F7" s="46">
        <f t="shared" ref="F7:F10" si="2">SUM(C7:E7)</f>
        <v>206370</v>
      </c>
      <c r="G7" s="46">
        <v>88774</v>
      </c>
      <c r="H7" s="46">
        <v>9101</v>
      </c>
      <c r="I7" s="47">
        <v>97875</v>
      </c>
      <c r="J7" s="40">
        <f t="shared" si="1"/>
        <v>108495</v>
      </c>
      <c r="K7" s="51" t="s">
        <v>177</v>
      </c>
    </row>
    <row r="8" spans="1:14" ht="13.2">
      <c r="A8" s="39" t="s">
        <v>178</v>
      </c>
      <c r="B8" s="39" t="s">
        <v>179</v>
      </c>
      <c r="C8" s="40">
        <v>32780</v>
      </c>
      <c r="D8" s="40">
        <v>1120</v>
      </c>
      <c r="E8" s="40">
        <v>-45</v>
      </c>
      <c r="F8" s="40">
        <f t="shared" si="2"/>
        <v>33855</v>
      </c>
      <c r="G8" s="40">
        <v>5970</v>
      </c>
      <c r="H8" s="40">
        <v>890</v>
      </c>
      <c r="I8" s="41">
        <v>6860</v>
      </c>
      <c r="J8" s="40">
        <f t="shared" si="1"/>
        <v>26995</v>
      </c>
      <c r="K8" s="52" t="s">
        <v>180</v>
      </c>
    </row>
    <row r="9" spans="1:14" ht="13.2">
      <c r="A9" s="45" t="s">
        <v>181</v>
      </c>
      <c r="B9" s="45" t="s">
        <v>182</v>
      </c>
      <c r="C9" s="46">
        <v>154050</v>
      </c>
      <c r="D9" s="46">
        <v>8950</v>
      </c>
      <c r="E9" s="46">
        <v>-2800</v>
      </c>
      <c r="F9" s="46">
        <f t="shared" si="2"/>
        <v>160200</v>
      </c>
      <c r="G9" s="46">
        <v>76200</v>
      </c>
      <c r="H9" s="46">
        <v>7650</v>
      </c>
      <c r="I9" s="47">
        <v>83850</v>
      </c>
      <c r="J9" s="40">
        <f t="shared" si="1"/>
        <v>76350</v>
      </c>
      <c r="K9" s="53" t="s">
        <v>183</v>
      </c>
    </row>
    <row r="10" spans="1:14" ht="13.2">
      <c r="A10" s="39" t="s">
        <v>184</v>
      </c>
      <c r="B10" s="39" t="s">
        <v>185</v>
      </c>
      <c r="C10" s="40">
        <v>12133</v>
      </c>
      <c r="D10" s="40">
        <v>452</v>
      </c>
      <c r="E10" s="40">
        <v>-270</v>
      </c>
      <c r="F10" s="40">
        <f t="shared" si="2"/>
        <v>12315</v>
      </c>
      <c r="G10" s="40">
        <v>6604</v>
      </c>
      <c r="H10" s="40">
        <v>561</v>
      </c>
      <c r="I10" s="41">
        <v>7165</v>
      </c>
      <c r="J10" s="40">
        <f t="shared" si="1"/>
        <v>5150</v>
      </c>
      <c r="K10" s="54" t="s">
        <v>186</v>
      </c>
    </row>
    <row r="11" spans="1:14" ht="13.2">
      <c r="A11" s="45"/>
      <c r="B11" s="45"/>
      <c r="C11" s="55"/>
      <c r="D11" s="56"/>
      <c r="E11" s="56"/>
      <c r="F11" s="56"/>
      <c r="G11" s="56"/>
      <c r="H11" s="56"/>
      <c r="I11" s="47"/>
      <c r="J11" s="40">
        <f t="shared" si="1"/>
        <v>0</v>
      </c>
      <c r="K11" s="51"/>
    </row>
    <row r="12" spans="1:14" ht="13.2">
      <c r="A12" s="39" t="s">
        <v>72</v>
      </c>
      <c r="B12" s="39" t="s">
        <v>176</v>
      </c>
      <c r="C12" s="40">
        <v>206370</v>
      </c>
      <c r="D12" s="40">
        <v>14142</v>
      </c>
      <c r="E12" s="40">
        <v>-5680</v>
      </c>
      <c r="F12" s="40">
        <f t="shared" ref="F12:F15" si="3">SUM(C12:E12)</f>
        <v>214832</v>
      </c>
      <c r="G12" s="40">
        <v>97875</v>
      </c>
      <c r="H12" s="40">
        <v>9335</v>
      </c>
      <c r="I12" s="41">
        <v>107210</v>
      </c>
      <c r="J12" s="40">
        <f t="shared" si="1"/>
        <v>107622</v>
      </c>
      <c r="K12" s="43" t="s">
        <v>177</v>
      </c>
    </row>
    <row r="13" spans="1:14" ht="13.2">
      <c r="A13" s="45" t="s">
        <v>178</v>
      </c>
      <c r="B13" s="45" t="s">
        <v>179</v>
      </c>
      <c r="C13" s="46">
        <v>33855</v>
      </c>
      <c r="D13" s="46">
        <v>2100</v>
      </c>
      <c r="E13" s="46">
        <v>-110</v>
      </c>
      <c r="F13" s="46">
        <f t="shared" si="3"/>
        <v>35845</v>
      </c>
      <c r="G13" s="46">
        <v>6860</v>
      </c>
      <c r="H13" s="46">
        <v>920</v>
      </c>
      <c r="I13" s="47">
        <v>7780</v>
      </c>
      <c r="J13" s="40">
        <f t="shared" si="1"/>
        <v>28065</v>
      </c>
      <c r="K13" s="48" t="s">
        <v>180</v>
      </c>
    </row>
    <row r="14" spans="1:14" ht="13.2">
      <c r="A14" s="39" t="s">
        <v>181</v>
      </c>
      <c r="B14" s="39" t="s">
        <v>182</v>
      </c>
      <c r="C14" s="40">
        <v>163200</v>
      </c>
      <c r="D14" s="40">
        <v>11200</v>
      </c>
      <c r="E14" s="40">
        <v>-5200</v>
      </c>
      <c r="F14" s="40">
        <f t="shared" si="3"/>
        <v>169200</v>
      </c>
      <c r="G14" s="40">
        <v>83850</v>
      </c>
      <c r="H14" s="40">
        <v>7850</v>
      </c>
      <c r="I14" s="41">
        <v>91700</v>
      </c>
      <c r="J14" s="40">
        <f t="shared" si="1"/>
        <v>77500</v>
      </c>
      <c r="K14" s="49" t="s">
        <v>183</v>
      </c>
    </row>
    <row r="15" spans="1:14" ht="13.2">
      <c r="A15" s="45" t="s">
        <v>184</v>
      </c>
      <c r="B15" s="45" t="s">
        <v>185</v>
      </c>
      <c r="C15" s="46">
        <v>12315</v>
      </c>
      <c r="D15" s="46">
        <v>842</v>
      </c>
      <c r="E15" s="46">
        <v>-370</v>
      </c>
      <c r="F15" s="46">
        <f t="shared" si="3"/>
        <v>12787</v>
      </c>
      <c r="G15" s="46">
        <v>7165</v>
      </c>
      <c r="H15" s="46">
        <v>565</v>
      </c>
      <c r="I15" s="47">
        <v>7730</v>
      </c>
      <c r="J15" s="40">
        <f t="shared" si="1"/>
        <v>5057</v>
      </c>
      <c r="K15" s="50" t="s">
        <v>186</v>
      </c>
    </row>
    <row r="16" spans="1:14" ht="13.2">
      <c r="A16" s="39"/>
      <c r="B16" s="39"/>
      <c r="C16" s="57"/>
      <c r="D16" s="42"/>
      <c r="E16" s="42"/>
      <c r="F16" s="42"/>
      <c r="G16" s="42"/>
      <c r="H16" s="42"/>
      <c r="I16" s="41"/>
      <c r="J16" s="40">
        <f t="shared" si="1"/>
        <v>0</v>
      </c>
      <c r="K16" s="43"/>
    </row>
    <row r="17" spans="1:11" ht="13.2">
      <c r="A17" s="45" t="s">
        <v>73</v>
      </c>
      <c r="B17" s="45" t="s">
        <v>176</v>
      </c>
      <c r="C17" s="46">
        <v>214832</v>
      </c>
      <c r="D17" s="46">
        <v>18500</v>
      </c>
      <c r="E17" s="46">
        <v>-8250</v>
      </c>
      <c r="F17" s="46">
        <f t="shared" ref="F17:F20" si="4">SUM(C17:E17)</f>
        <v>225082</v>
      </c>
      <c r="G17" s="46">
        <v>107210</v>
      </c>
      <c r="H17" s="46">
        <v>9510</v>
      </c>
      <c r="I17" s="47">
        <v>116720</v>
      </c>
      <c r="J17" s="40">
        <f t="shared" si="1"/>
        <v>108362</v>
      </c>
      <c r="K17" s="51" t="s">
        <v>177</v>
      </c>
    </row>
    <row r="18" spans="1:11" ht="13.2">
      <c r="A18" s="39" t="s">
        <v>178</v>
      </c>
      <c r="B18" s="39" t="s">
        <v>179</v>
      </c>
      <c r="C18" s="40">
        <v>35845</v>
      </c>
      <c r="D18" s="40">
        <v>3450</v>
      </c>
      <c r="E18" s="40">
        <v>-1200</v>
      </c>
      <c r="F18" s="40">
        <f t="shared" si="4"/>
        <v>38095</v>
      </c>
      <c r="G18" s="40">
        <v>7780</v>
      </c>
      <c r="H18" s="40">
        <v>1150</v>
      </c>
      <c r="I18" s="41">
        <v>8930</v>
      </c>
      <c r="J18" s="40">
        <f t="shared" si="1"/>
        <v>29165</v>
      </c>
      <c r="K18" s="52" t="s">
        <v>180</v>
      </c>
    </row>
    <row r="19" spans="1:11" ht="13.2">
      <c r="A19" s="45" t="s">
        <v>181</v>
      </c>
      <c r="B19" s="45" t="s">
        <v>182</v>
      </c>
      <c r="C19" s="46">
        <v>166200</v>
      </c>
      <c r="D19" s="46">
        <v>13850</v>
      </c>
      <c r="E19" s="46">
        <v>-6500</v>
      </c>
      <c r="F19" s="46">
        <f t="shared" si="4"/>
        <v>173550</v>
      </c>
      <c r="G19" s="46">
        <v>91700</v>
      </c>
      <c r="H19" s="46">
        <v>7800</v>
      </c>
      <c r="I19" s="47">
        <v>99500</v>
      </c>
      <c r="J19" s="40">
        <f t="shared" si="1"/>
        <v>74050</v>
      </c>
      <c r="K19" s="53" t="s">
        <v>183</v>
      </c>
    </row>
    <row r="20" spans="1:11" ht="13.2">
      <c r="A20" s="39" t="s">
        <v>184</v>
      </c>
      <c r="B20" s="39" t="s">
        <v>185</v>
      </c>
      <c r="C20" s="40">
        <v>12787</v>
      </c>
      <c r="D20" s="40">
        <v>1200</v>
      </c>
      <c r="E20" s="40">
        <v>-550</v>
      </c>
      <c r="F20" s="40">
        <f t="shared" si="4"/>
        <v>13437</v>
      </c>
      <c r="G20" s="40">
        <v>7730</v>
      </c>
      <c r="H20" s="40">
        <v>560</v>
      </c>
      <c r="I20" s="41">
        <v>8290</v>
      </c>
      <c r="J20" s="40">
        <f t="shared" si="1"/>
        <v>5147</v>
      </c>
      <c r="K20" s="54" t="s">
        <v>186</v>
      </c>
    </row>
    <row r="21" spans="1:11" ht="13.2">
      <c r="A21" s="45"/>
      <c r="B21" s="45"/>
      <c r="C21" s="55"/>
      <c r="D21" s="56"/>
      <c r="E21" s="56"/>
      <c r="F21" s="56"/>
      <c r="G21" s="56"/>
      <c r="H21" s="56"/>
      <c r="I21" s="47"/>
      <c r="J21" s="40">
        <f t="shared" si="1"/>
        <v>0</v>
      </c>
      <c r="K21" s="51"/>
    </row>
    <row r="22" spans="1:11" ht="13.2">
      <c r="A22" s="39" t="s">
        <v>74</v>
      </c>
      <c r="B22" s="39" t="s">
        <v>176</v>
      </c>
      <c r="C22" s="40">
        <v>225082</v>
      </c>
      <c r="D22" s="40">
        <v>16120</v>
      </c>
      <c r="E22" s="40">
        <v>-10580</v>
      </c>
      <c r="F22" s="40">
        <f t="shared" ref="F22:F25" si="5">SUM(C22:E22)</f>
        <v>230622</v>
      </c>
      <c r="G22" s="40">
        <v>116720</v>
      </c>
      <c r="H22" s="40">
        <v>9680</v>
      </c>
      <c r="I22" s="41">
        <v>126400</v>
      </c>
      <c r="J22" s="40">
        <f t="shared" si="1"/>
        <v>104222</v>
      </c>
      <c r="K22" s="43" t="s">
        <v>177</v>
      </c>
    </row>
    <row r="23" spans="1:11" ht="13.2">
      <c r="A23" s="45" t="s">
        <v>178</v>
      </c>
      <c r="B23" s="45" t="s">
        <v>179</v>
      </c>
      <c r="C23" s="46">
        <v>38095</v>
      </c>
      <c r="D23" s="46">
        <v>4200</v>
      </c>
      <c r="E23" s="46">
        <v>-2100</v>
      </c>
      <c r="F23" s="46">
        <f t="shared" si="5"/>
        <v>40195</v>
      </c>
      <c r="G23" s="46">
        <v>8930</v>
      </c>
      <c r="H23" s="46">
        <v>1250</v>
      </c>
      <c r="I23" s="47">
        <v>10180</v>
      </c>
      <c r="J23" s="40">
        <f t="shared" si="1"/>
        <v>30015</v>
      </c>
      <c r="K23" s="48" t="s">
        <v>180</v>
      </c>
    </row>
    <row r="24" spans="1:11" ht="13.2">
      <c r="A24" s="39" t="s">
        <v>181</v>
      </c>
      <c r="B24" s="39" t="s">
        <v>182</v>
      </c>
      <c r="C24" s="40">
        <v>173550</v>
      </c>
      <c r="D24" s="40">
        <v>10800</v>
      </c>
      <c r="E24" s="40">
        <v>-8100</v>
      </c>
      <c r="F24" s="40">
        <f t="shared" si="5"/>
        <v>176250</v>
      </c>
      <c r="G24" s="40">
        <v>99500</v>
      </c>
      <c r="H24" s="40">
        <v>7850</v>
      </c>
      <c r="I24" s="41">
        <v>107350</v>
      </c>
      <c r="J24" s="40">
        <f t="shared" si="1"/>
        <v>68900</v>
      </c>
      <c r="K24" s="49" t="s">
        <v>183</v>
      </c>
    </row>
    <row r="25" spans="1:11" ht="13.2">
      <c r="A25" s="45" t="s">
        <v>184</v>
      </c>
      <c r="B25" s="45" t="s">
        <v>185</v>
      </c>
      <c r="C25" s="58">
        <v>13437</v>
      </c>
      <c r="D25" s="58">
        <v>1120</v>
      </c>
      <c r="E25" s="58">
        <v>-380</v>
      </c>
      <c r="F25" s="58">
        <f t="shared" si="5"/>
        <v>14177</v>
      </c>
      <c r="G25" s="58">
        <v>8290</v>
      </c>
      <c r="H25" s="58">
        <v>580</v>
      </c>
      <c r="I25" s="59">
        <v>8870</v>
      </c>
      <c r="J25" s="40">
        <f t="shared" si="1"/>
        <v>5307</v>
      </c>
      <c r="K25" s="60" t="s">
        <v>186</v>
      </c>
    </row>
    <row r="26" spans="1:11" ht="13.2">
      <c r="A26" s="61"/>
      <c r="B26" s="61"/>
      <c r="C26" s="61">
        <f>SUM(Table1[Cost (Opening)])</f>
        <v>2081378</v>
      </c>
      <c r="D26" s="61"/>
      <c r="E26" s="61"/>
      <c r="F26" s="61"/>
      <c r="G26" s="61">
        <f>SUM(Table1[Accum. Dep (Opening)])</f>
        <v>980238</v>
      </c>
      <c r="H26" s="61"/>
      <c r="I26" s="61"/>
      <c r="J26" s="61"/>
      <c r="K26" s="61"/>
    </row>
    <row r="30" spans="1:11" ht="15.75" customHeight="1">
      <c r="A30" s="62"/>
      <c r="D30" s="3"/>
    </row>
    <row r="31" spans="1:11" ht="15.75" customHeight="1">
      <c r="A31" s="62"/>
      <c r="B31" s="2"/>
      <c r="C31" s="3"/>
      <c r="D31" s="3"/>
    </row>
    <row r="32" spans="1:11" ht="15.75" customHeight="1">
      <c r="A32" s="62"/>
      <c r="B32" s="2"/>
      <c r="C32" s="3"/>
      <c r="D32" s="3"/>
    </row>
    <row r="33" spans="1:4" ht="15.75" customHeight="1">
      <c r="A33" s="62"/>
      <c r="B33" s="2"/>
      <c r="C33" s="2"/>
      <c r="D33" s="2"/>
    </row>
    <row r="34" spans="1:4" ht="15.75" customHeight="1">
      <c r="A34" s="63"/>
      <c r="B34" s="2"/>
      <c r="C34" s="3"/>
      <c r="D34" s="3"/>
    </row>
  </sheetData>
  <conditionalFormatting sqref="J2:J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dataValidations count="3">
    <dataValidation type="list" allowBlank="1" showDropDown="1" showErrorMessage="1" sqref="K2:K25" xr:uid="{00000000-0002-0000-0400-000000000000}">
      <formula1>"--,30–60,15–40,3–10,---"</formula1>
    </dataValidation>
    <dataValidation type="custom" allowBlank="1" showDropDown="1" sqref="C2:J25" xr:uid="{00000000-0002-0000-0400-000001000000}">
      <formula1>AND(ISNUMBER(C2),(NOT(OR(NOT(ISERROR(DATEVALUE(C2))), AND(ISNUMBER(C2), LEFT(CELL("format", C2))="D")))))</formula1>
    </dataValidation>
    <dataValidation allowBlank="1" showDropDown="1" sqref="A2:B25" xr:uid="{00000000-0002-0000-0400-000002000000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3"/>
  <sheetViews>
    <sheetView workbookViewId="0">
      <selection activeCell="D11" sqref="D11"/>
    </sheetView>
  </sheetViews>
  <sheetFormatPr defaultColWidth="12.6640625" defaultRowHeight="15.75" customHeight="1"/>
  <cols>
    <col min="2" max="2" width="17.6640625" customWidth="1"/>
    <col min="3" max="3" width="22.6640625" customWidth="1"/>
    <col min="4" max="4" width="13.6640625" customWidth="1"/>
    <col min="5" max="5" width="16.88671875" customWidth="1"/>
    <col min="6" max="6" width="17.109375" customWidth="1"/>
    <col min="7" max="7" width="17.5546875" customWidth="1"/>
  </cols>
  <sheetData>
    <row r="1" spans="1:7">
      <c r="A1" s="2" t="s">
        <v>1</v>
      </c>
      <c r="B1" s="2" t="s">
        <v>114</v>
      </c>
      <c r="C1" s="2" t="s">
        <v>187</v>
      </c>
      <c r="D1" s="2" t="s">
        <v>188</v>
      </c>
      <c r="E1" s="2" t="s">
        <v>118</v>
      </c>
      <c r="F1" s="2" t="s">
        <v>189</v>
      </c>
      <c r="G1" s="2" t="s">
        <v>190</v>
      </c>
    </row>
    <row r="2" spans="1:7">
      <c r="A2" s="2" t="s">
        <v>70</v>
      </c>
      <c r="B2" s="4">
        <v>116328</v>
      </c>
      <c r="C2" s="4">
        <v>15487</v>
      </c>
      <c r="D2" s="4">
        <v>43314</v>
      </c>
      <c r="E2" s="6">
        <f t="shared" ref="E2:E6" si="0">B2+C2-D2</f>
        <v>88501</v>
      </c>
      <c r="F2" s="4">
        <v>7.3999999999999996E-2</v>
      </c>
      <c r="G2" s="5">
        <f t="shared" ref="G2:G6" si="1">(B2+E2)/2*F2</f>
        <v>7578.6729999999998</v>
      </c>
    </row>
    <row r="3" spans="1:7">
      <c r="A3" s="2" t="s">
        <v>71</v>
      </c>
      <c r="B3" s="6">
        <v>88501</v>
      </c>
      <c r="C3" s="4">
        <v>11212</v>
      </c>
      <c r="D3" s="4">
        <v>24152</v>
      </c>
      <c r="E3" s="6">
        <f t="shared" si="0"/>
        <v>75561</v>
      </c>
      <c r="F3" s="4">
        <v>6.7000000000000004E-2</v>
      </c>
      <c r="G3" s="5">
        <f t="shared" si="1"/>
        <v>5496.0770000000002</v>
      </c>
    </row>
    <row r="4" spans="1:7">
      <c r="A4" s="2" t="s">
        <v>72</v>
      </c>
      <c r="B4" s="4">
        <v>75561</v>
      </c>
      <c r="C4" s="4">
        <v>30145</v>
      </c>
      <c r="D4" s="4">
        <v>20813</v>
      </c>
      <c r="E4" s="6">
        <f t="shared" si="0"/>
        <v>84893</v>
      </c>
      <c r="F4" s="4">
        <v>7.9000000000000001E-2</v>
      </c>
      <c r="G4" s="5">
        <f t="shared" si="1"/>
        <v>6337.933</v>
      </c>
    </row>
    <row r="5" spans="1:7">
      <c r="A5" s="2" t="s">
        <v>73</v>
      </c>
      <c r="B5" s="4">
        <v>84893</v>
      </c>
      <c r="C5" s="4">
        <v>18050</v>
      </c>
      <c r="D5" s="4">
        <v>15861</v>
      </c>
      <c r="E5" s="6">
        <f t="shared" si="0"/>
        <v>87082</v>
      </c>
      <c r="F5" s="4">
        <v>8.6999999999999994E-2</v>
      </c>
      <c r="G5" s="5">
        <f t="shared" si="1"/>
        <v>7480.9124999999995</v>
      </c>
    </row>
    <row r="6" spans="1:7">
      <c r="A6" s="2" t="s">
        <v>74</v>
      </c>
      <c r="B6" s="4">
        <v>87082</v>
      </c>
      <c r="C6" s="4">
        <v>18719</v>
      </c>
      <c r="D6" s="4">
        <v>11000</v>
      </c>
      <c r="E6" s="6">
        <f t="shared" si="0"/>
        <v>94801</v>
      </c>
      <c r="F6" s="4">
        <v>8.1000000000000003E-2</v>
      </c>
      <c r="G6" s="5">
        <f t="shared" si="1"/>
        <v>7366.2615000000005</v>
      </c>
    </row>
    <row r="7" spans="1:7">
      <c r="F7" s="6"/>
    </row>
    <row r="9" spans="1:7">
      <c r="B9" s="64"/>
      <c r="C9" s="64"/>
      <c r="E9" s="65"/>
      <c r="G9" s="64"/>
    </row>
    <row r="10" spans="1:7">
      <c r="B10" s="64"/>
      <c r="C10" s="64"/>
      <c r="E10" s="65"/>
      <c r="G10" s="64"/>
    </row>
    <row r="11" spans="1:7">
      <c r="B11" s="64"/>
      <c r="C11" s="64"/>
      <c r="E11" s="65"/>
      <c r="G11" s="64"/>
    </row>
    <row r="12" spans="1:7">
      <c r="B12" s="64"/>
      <c r="C12" s="64"/>
      <c r="E12" s="65"/>
      <c r="G12" s="64"/>
    </row>
    <row r="13" spans="1:7">
      <c r="B13" s="64"/>
      <c r="C13" s="64"/>
      <c r="E13" s="65"/>
      <c r="G13" s="64"/>
    </row>
  </sheetData>
  <conditionalFormatting sqref="A2:G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7"/>
  <sheetViews>
    <sheetView tabSelected="1" zoomScale="81" workbookViewId="0">
      <selection activeCell="C3" sqref="C3"/>
    </sheetView>
  </sheetViews>
  <sheetFormatPr defaultColWidth="12.6640625" defaultRowHeight="15.75" customHeight="1"/>
  <cols>
    <col min="1" max="1" width="27.21875" customWidth="1"/>
  </cols>
  <sheetData>
    <row r="1" spans="1:13" ht="15.75" customHeight="1" thickBot="1">
      <c r="A1" s="7" t="s">
        <v>191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H1" s="119" t="s">
        <v>24</v>
      </c>
      <c r="I1" s="120" t="s">
        <v>25</v>
      </c>
      <c r="J1" s="120" t="s">
        <v>26</v>
      </c>
      <c r="K1" s="120" t="s">
        <v>27</v>
      </c>
      <c r="L1" s="120" t="s">
        <v>28</v>
      </c>
      <c r="M1" s="120" t="s">
        <v>29</v>
      </c>
    </row>
    <row r="2" spans="1:13" ht="15.75" customHeight="1">
      <c r="A2" s="7" t="s">
        <v>192</v>
      </c>
      <c r="B2" s="5">
        <f>'Balance sheet'!B41/'Income Statement'!C5*365</f>
        <v>53.622685720451983</v>
      </c>
      <c r="C2" s="5">
        <f>'Balance sheet'!C41/'Income Statement'!D5*365</f>
        <v>34.643895179854447</v>
      </c>
      <c r="D2" s="5">
        <f>'Balance sheet'!D41/'Income Statement'!E5*365</f>
        <v>23.361561775717597</v>
      </c>
      <c r="E2" s="5">
        <f>'Balance sheet'!E41/'Income Statement'!F5*365</f>
        <v>20.51450654245432</v>
      </c>
      <c r="F2" s="5">
        <f>'Balance sheet'!F41/'Income Statement'!G5*365</f>
        <v>20.060872624912033</v>
      </c>
      <c r="H2" s="121" t="s">
        <v>104</v>
      </c>
      <c r="I2" s="114"/>
      <c r="J2" s="114"/>
      <c r="K2" s="114"/>
      <c r="L2" s="114"/>
      <c r="M2" s="114"/>
    </row>
    <row r="3" spans="1:13" ht="15.75" customHeight="1">
      <c r="A3" s="8" t="s">
        <v>193</v>
      </c>
      <c r="B3" s="5">
        <f>'Balance sheet'!B40/'Income Statement'!C13*365</f>
        <v>549.59904153354626</v>
      </c>
      <c r="C3" s="5">
        <f>'Balance sheet'!C40/'Income Statement'!D13*365</f>
        <v>471.17444873354128</v>
      </c>
      <c r="D3" s="5">
        <f>'Balance sheet'!D40/'Income Statement'!E13*365</f>
        <v>385.73460866187611</v>
      </c>
      <c r="E3" s="5">
        <f>'Balance sheet'!E40/'Income Statement'!F13*365</f>
        <v>332.71556913957579</v>
      </c>
      <c r="F3" s="5">
        <f>'Balance sheet'!F40/'Income Statement'!G13*365</f>
        <v>339.70230414746544</v>
      </c>
      <c r="H3" s="4" t="s">
        <v>105</v>
      </c>
      <c r="I3" s="4">
        <v>28278</v>
      </c>
      <c r="J3" s="4">
        <v>48824</v>
      </c>
      <c r="K3" s="4">
        <v>54415</v>
      </c>
      <c r="L3" s="4">
        <v>49210</v>
      </c>
      <c r="M3" s="4">
        <v>50490</v>
      </c>
    </row>
    <row r="4" spans="1:13" ht="15.75" customHeight="1">
      <c r="A4" s="8" t="s">
        <v>194</v>
      </c>
      <c r="B4" s="5">
        <f>'Balance sheet'!B21/'Income Statement'!C13*365</f>
        <v>534.98349307774231</v>
      </c>
      <c r="C4" s="5">
        <f>'Balance sheet'!C21/'Income Statement'!D13*365</f>
        <v>341.81957590820161</v>
      </c>
      <c r="D4" s="5">
        <f>'Balance sheet'!D21/'Income Statement'!E13*365</f>
        <v>270.15245678772578</v>
      </c>
      <c r="E4" s="5">
        <f>'Balance sheet'!E21/'Income Statement'!F13*365</f>
        <v>271.93294433638977</v>
      </c>
      <c r="F4" s="5">
        <f>'Balance sheet'!F21/'Income Statement'!G13*365</f>
        <v>262.26175115207371</v>
      </c>
      <c r="H4" s="122" t="s">
        <v>106</v>
      </c>
      <c r="I4" s="122">
        <v>9530</v>
      </c>
      <c r="J4" s="122">
        <v>12246</v>
      </c>
      <c r="K4" s="122">
        <v>8257</v>
      </c>
      <c r="L4" s="122">
        <v>7650</v>
      </c>
      <c r="M4" s="122">
        <v>7810</v>
      </c>
    </row>
    <row r="5" spans="1:13" ht="15.75" customHeight="1">
      <c r="A5" s="8" t="s">
        <v>195</v>
      </c>
      <c r="B5" s="5">
        <f t="shared" ref="B5:F5" si="0">B2+B3-B4</f>
        <v>68.238234176255901</v>
      </c>
      <c r="C5" s="5">
        <f t="shared" si="0"/>
        <v>163.99876800519411</v>
      </c>
      <c r="D5" s="5">
        <f t="shared" si="0"/>
        <v>138.9437136498679</v>
      </c>
      <c r="E5" s="5">
        <f t="shared" si="0"/>
        <v>81.297131345640366</v>
      </c>
      <c r="F5" s="5">
        <f t="shared" si="0"/>
        <v>97.501425620303735</v>
      </c>
      <c r="H5" s="4" t="s">
        <v>107</v>
      </c>
      <c r="I5" s="4">
        <v>5782</v>
      </c>
      <c r="J5" s="4">
        <v>15605</v>
      </c>
      <c r="K5" s="4">
        <v>12130</v>
      </c>
      <c r="L5" s="4">
        <v>6240</v>
      </c>
      <c r="M5" s="4">
        <v>12222</v>
      </c>
    </row>
    <row r="6" spans="1:13" ht="15.75" customHeight="1">
      <c r="H6" s="122" t="s">
        <v>108</v>
      </c>
      <c r="I6" s="122">
        <v>7240</v>
      </c>
      <c r="J6" s="122">
        <v>294</v>
      </c>
      <c r="K6" s="122">
        <v>1227</v>
      </c>
      <c r="L6" s="122">
        <v>1110</v>
      </c>
      <c r="M6" s="122">
        <v>2120</v>
      </c>
    </row>
    <row r="7" spans="1:13" ht="13.2">
      <c r="A7" s="1" t="s">
        <v>196</v>
      </c>
      <c r="B7" s="10" t="s">
        <v>25</v>
      </c>
      <c r="C7" s="10" t="s">
        <v>26</v>
      </c>
      <c r="D7" s="10" t="s">
        <v>27</v>
      </c>
      <c r="E7" s="10" t="s">
        <v>28</v>
      </c>
      <c r="F7" s="10" t="s">
        <v>29</v>
      </c>
      <c r="H7" s="4" t="s">
        <v>109</v>
      </c>
      <c r="I7" s="4">
        <v>10963</v>
      </c>
      <c r="J7" s="4">
        <v>15588</v>
      </c>
      <c r="K7" s="4">
        <v>10636</v>
      </c>
      <c r="L7" s="4">
        <v>6340</v>
      </c>
      <c r="M7" s="4">
        <v>-319</v>
      </c>
    </row>
    <row r="8" spans="1:13" ht="13.2">
      <c r="A8" s="5" t="s">
        <v>106</v>
      </c>
      <c r="B8" s="4">
        <f>B2/365*'Income Statement'!C5</f>
        <v>9530</v>
      </c>
      <c r="C8" s="4">
        <f>C2/365*'Income Statement'!D5</f>
        <v>12246</v>
      </c>
      <c r="D8" s="4">
        <f>D2/365*'Income Statement'!E5</f>
        <v>8257</v>
      </c>
      <c r="E8" s="4">
        <f>E2/365*'Income Statement'!F5</f>
        <v>7650</v>
      </c>
      <c r="F8" s="4">
        <f>F2/365*'Income Statement'!G5</f>
        <v>7810</v>
      </c>
      <c r="H8" s="121" t="s">
        <v>110</v>
      </c>
      <c r="I8" s="121">
        <f t="shared" ref="I8:M8" si="1">SUM(I3:I7)</f>
        <v>61793</v>
      </c>
      <c r="J8" s="121">
        <f t="shared" si="1"/>
        <v>92557</v>
      </c>
      <c r="K8" s="121">
        <f t="shared" si="1"/>
        <v>86665</v>
      </c>
      <c r="L8" s="121">
        <f t="shared" si="1"/>
        <v>70550</v>
      </c>
      <c r="M8" s="121">
        <f t="shared" si="1"/>
        <v>72323</v>
      </c>
    </row>
    <row r="9" spans="1:13" ht="13.2">
      <c r="A9" s="44" t="s">
        <v>197</v>
      </c>
      <c r="B9" s="5">
        <f>B3/365*'Income Statement'!C13</f>
        <v>28277.999999999993</v>
      </c>
      <c r="C9" s="5">
        <f>C3/365*'Income Statement'!D13</f>
        <v>48824</v>
      </c>
      <c r="D9" s="5">
        <f>D3/365*'Income Statement'!E13</f>
        <v>54415.000000000007</v>
      </c>
      <c r="E9" s="5">
        <f>E3/365*'Income Statement'!F13</f>
        <v>49210</v>
      </c>
      <c r="F9" s="5">
        <f>F3/365*'Income Statement'!G13</f>
        <v>50490</v>
      </c>
      <c r="H9" s="5"/>
      <c r="I9" s="5"/>
      <c r="J9" s="5"/>
      <c r="K9" s="5"/>
      <c r="L9" s="5"/>
      <c r="M9" s="5"/>
    </row>
    <row r="10" spans="1:13" ht="13.2">
      <c r="A10" s="5" t="s">
        <v>198</v>
      </c>
      <c r="B10" s="5">
        <f>'Balance sheet'!B21/'Income Statement'!C13*365</f>
        <v>534.98349307774231</v>
      </c>
      <c r="C10" s="5">
        <f>'Balance sheet'!C21/'Income Statement'!D13*365</f>
        <v>341.81957590820161</v>
      </c>
      <c r="D10" s="5">
        <f>'Balance sheet'!D21/'Income Statement'!E13*365</f>
        <v>270.15245678772578</v>
      </c>
      <c r="E10" s="5">
        <f>'Balance sheet'!E21/'Income Statement'!F13*365</f>
        <v>271.93294433638977</v>
      </c>
      <c r="F10" s="5">
        <f>'Balance sheet'!F21/'Income Statement'!G13*365</f>
        <v>262.26175115207371</v>
      </c>
      <c r="H10" s="121" t="s">
        <v>88</v>
      </c>
      <c r="I10" s="122"/>
      <c r="J10" s="122"/>
      <c r="K10" s="122"/>
      <c r="L10" s="122"/>
      <c r="M10" s="122"/>
    </row>
    <row r="11" spans="1:13" ht="15.75" customHeight="1">
      <c r="H11" s="4" t="s">
        <v>81</v>
      </c>
      <c r="I11" s="4">
        <v>13634</v>
      </c>
      <c r="J11" s="4">
        <v>15220</v>
      </c>
      <c r="K11" s="4">
        <v>18220</v>
      </c>
      <c r="L11" s="4">
        <v>22110</v>
      </c>
      <c r="M11" s="4">
        <v>19309</v>
      </c>
    </row>
    <row r="12" spans="1:13" ht="13.2">
      <c r="A12" s="10"/>
      <c r="B12" s="10"/>
      <c r="C12" s="10"/>
      <c r="D12" s="10"/>
      <c r="E12" s="10"/>
      <c r="F12" s="10"/>
      <c r="H12" s="122" t="s">
        <v>89</v>
      </c>
      <c r="I12" s="122">
        <v>27526</v>
      </c>
      <c r="J12" s="122">
        <v>35420</v>
      </c>
      <c r="K12" s="122">
        <v>38110</v>
      </c>
      <c r="L12" s="122">
        <v>40220</v>
      </c>
      <c r="M12" s="122">
        <v>38980</v>
      </c>
    </row>
    <row r="13" spans="1:13" ht="13.2">
      <c r="H13" s="4" t="s">
        <v>90</v>
      </c>
      <c r="I13" s="4">
        <v>46064</v>
      </c>
      <c r="J13" s="4">
        <v>39757</v>
      </c>
      <c r="K13" s="4">
        <v>40965</v>
      </c>
      <c r="L13" s="4">
        <v>32483</v>
      </c>
      <c r="M13" s="4">
        <v>26575</v>
      </c>
    </row>
    <row r="14" spans="1:13" ht="13.2">
      <c r="H14" s="121" t="s">
        <v>91</v>
      </c>
      <c r="I14" s="121">
        <f t="shared" ref="I14:M14" si="2">SUM(I11:I13)</f>
        <v>87224</v>
      </c>
      <c r="J14" s="121">
        <f t="shared" si="2"/>
        <v>90397</v>
      </c>
      <c r="K14" s="121">
        <f t="shared" si="2"/>
        <v>97295</v>
      </c>
      <c r="L14" s="121">
        <f t="shared" si="2"/>
        <v>94813</v>
      </c>
      <c r="M14" s="121">
        <f t="shared" si="2"/>
        <v>84864</v>
      </c>
    </row>
    <row r="15" spans="1:13" ht="13.2">
      <c r="H15" s="5"/>
      <c r="I15" s="5"/>
      <c r="J15" s="5"/>
      <c r="K15" s="5"/>
      <c r="L15" s="5"/>
      <c r="M15" s="5"/>
    </row>
    <row r="16" spans="1:13" ht="13.2">
      <c r="H16" s="114" t="s">
        <v>199</v>
      </c>
      <c r="I16" s="123">
        <f t="shared" ref="I16:M16" si="3">I8-I14</f>
        <v>-25431</v>
      </c>
      <c r="J16" s="123">
        <f t="shared" si="3"/>
        <v>2160</v>
      </c>
      <c r="K16" s="123">
        <f t="shared" si="3"/>
        <v>-10630</v>
      </c>
      <c r="L16" s="123">
        <f t="shared" si="3"/>
        <v>-24263</v>
      </c>
      <c r="M16" s="123">
        <f t="shared" si="3"/>
        <v>-12541</v>
      </c>
    </row>
    <row r="17" ht="13.2"/>
    <row r="18" ht="13.2"/>
    <row r="19" ht="13.2"/>
    <row r="21" ht="13.2"/>
    <row r="22" ht="13.2"/>
    <row r="23" ht="13.2"/>
    <row r="24" ht="13.2"/>
    <row r="25" ht="13.2"/>
    <row r="27" ht="13.2"/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2"/>
  <sheetViews>
    <sheetView workbookViewId="0">
      <selection activeCell="B25" sqref="B25"/>
    </sheetView>
  </sheetViews>
  <sheetFormatPr defaultColWidth="12.6640625" defaultRowHeight="15.75" customHeight="1"/>
  <cols>
    <col min="1" max="1" width="22.6640625" customWidth="1"/>
  </cols>
  <sheetData>
    <row r="1" spans="1:6" ht="15.75" customHeight="1">
      <c r="A1" s="102" t="s">
        <v>200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</row>
    <row r="2" spans="1:6" ht="15.75" customHeight="1">
      <c r="A2" s="103" t="s">
        <v>201</v>
      </c>
      <c r="B2" s="6">
        <f>'Income Statement'!C5-'Income Statement'!C13/'Income Statement'!C5</f>
        <v>64868.710493456041</v>
      </c>
      <c r="C2" s="6">
        <f>'Income Statement'!D5-'Income Statement'!D13/'Income Statement'!D5</f>
        <v>129020.70685392301</v>
      </c>
      <c r="D2" s="6">
        <f>'Income Statement'!E5-'Income Statement'!E13/'Income Statement'!E5</f>
        <v>129006.60087437116</v>
      </c>
      <c r="E2" s="6">
        <f>'Income Statement'!F5-'Income Statement'!F13/'Income Statement'!F5</f>
        <v>136110.60337518642</v>
      </c>
      <c r="F2" s="5">
        <f>'Income Statement'!G5-'Income Statement'!G13/'Income Statement'!G5</f>
        <v>142099.61822660099</v>
      </c>
    </row>
    <row r="3" spans="1:6" ht="15.75" customHeight="1">
      <c r="A3" s="103" t="s">
        <v>202</v>
      </c>
      <c r="B3" s="5">
        <f>'Income Statement'!C23/'Income Statement'!C5*100</f>
        <v>29.918759345758371</v>
      </c>
      <c r="C3" s="5">
        <f>'Income Statement'!D23/'Income Statement'!D5*100</f>
        <v>41.403337441191745</v>
      </c>
      <c r="D3" s="5">
        <f>'Income Statement'!E23/'Income Statement'!E5*100</f>
        <v>24.208763865526677</v>
      </c>
      <c r="E3" s="5">
        <f>'Income Statement'!F23/'Income Statement'!F5*100</f>
        <v>23.845243955301186</v>
      </c>
      <c r="F3" s="5">
        <f>'Income Statement'!G23/'Income Statement'!G5*100</f>
        <v>25.721323011963403</v>
      </c>
    </row>
    <row r="4" spans="1:6" ht="15.75" customHeight="1">
      <c r="A4" s="104" t="s">
        <v>203</v>
      </c>
      <c r="B4" s="5">
        <f>'Income Statement'!C38/'Income Statement'!C7*100</f>
        <v>15.719662477994294</v>
      </c>
      <c r="C4" s="5">
        <f>'Income Statement'!D38/'Income Statement'!D7*100</f>
        <v>25.357219844178243</v>
      </c>
      <c r="D4" s="5">
        <f>'Income Statement'!E38/'Income Statement'!E7*100</f>
        <v>14.791006674253376</v>
      </c>
      <c r="E4" s="5">
        <f>'Income Statement'!F38/'Income Statement'!F7*100</f>
        <v>14.080876195192287</v>
      </c>
      <c r="F4" s="5">
        <f>'Income Statement'!G38/'Income Statement'!G7*100</f>
        <v>16.45869640989892</v>
      </c>
    </row>
    <row r="5" spans="1:6" ht="15.75" customHeight="1">
      <c r="A5" s="110"/>
    </row>
    <row r="6" spans="1:6" ht="15.75" customHeight="1">
      <c r="A6" s="105"/>
    </row>
    <row r="7" spans="1:6" ht="15.75" customHeight="1">
      <c r="A7" s="101" t="s">
        <v>208</v>
      </c>
      <c r="B7" s="4" t="s">
        <v>209</v>
      </c>
      <c r="C7" s="4" t="s">
        <v>210</v>
      </c>
      <c r="D7" s="4" t="s">
        <v>211</v>
      </c>
      <c r="E7" s="4" t="s">
        <v>212</v>
      </c>
      <c r="F7" s="4" t="s">
        <v>213</v>
      </c>
    </row>
    <row r="8" spans="1:6" ht="15.75" customHeight="1">
      <c r="A8" s="101" t="s">
        <v>204</v>
      </c>
      <c r="B8" s="4"/>
      <c r="C8" s="4"/>
      <c r="D8" s="4"/>
      <c r="E8" s="4"/>
      <c r="F8" s="4"/>
    </row>
    <row r="9" spans="1:6" ht="15.75" customHeight="1">
      <c r="A9" s="106" t="s">
        <v>205</v>
      </c>
      <c r="B9" s="5">
        <f>'Income Statement'!C38/'Balance sheet'!B4</f>
        <v>8.6460767946577626</v>
      </c>
      <c r="C9" s="5">
        <f>'Income Statement'!D38/'Balance sheet'!C4</f>
        <v>26.975429975429975</v>
      </c>
      <c r="D9" s="5">
        <f>'Income Statement'!E38/'Balance sheet'!D4</f>
        <v>15.754299754299755</v>
      </c>
      <c r="E9" s="5">
        <f>'Income Statement'!F38/'Balance sheet'!E4</f>
        <v>15.493589743589743</v>
      </c>
      <c r="F9" s="5">
        <f>'Income Statement'!G38/'Balance sheet'!F4</f>
        <v>18.933440256615878</v>
      </c>
    </row>
    <row r="10" spans="1:6" ht="15.75" customHeight="1">
      <c r="A10" s="106" t="s">
        <v>206</v>
      </c>
      <c r="B10" s="100">
        <f>'Income Statement'!C38/'Balance sheet'!B47</f>
        <v>4.2365740930099392E-2</v>
      </c>
      <c r="C10" s="100">
        <f>'Income Statement'!D38/'Balance sheet'!C47</f>
        <v>0.1153882534288567</v>
      </c>
      <c r="D10" s="100">
        <f>'Income Statement'!E38/'Balance sheet'!D47</f>
        <v>6.6786796796066958E-2</v>
      </c>
      <c r="E10" s="100">
        <f>'Income Statement'!F38/'Balance sheet'!E47</f>
        <v>7.0719040304293754E-2</v>
      </c>
      <c r="F10" s="100">
        <f>'Income Statement'!G38/'Balance sheet'!F47</f>
        <v>8.4505529904434662E-2</v>
      </c>
    </row>
    <row r="11" spans="1:6" ht="15.75" customHeight="1">
      <c r="A11" s="107" t="s">
        <v>207</v>
      </c>
      <c r="B11" s="100">
        <f>'Income Statement'!C23/('Balance sheet'!B47-'Balance sheet'!B23)</f>
        <v>0.12340874696374296</v>
      </c>
      <c r="C11" s="100">
        <f>'Income Statement'!D23/('Balance sheet'!C47-'Balance sheet'!C23)</f>
        <v>0.2738761740699725</v>
      </c>
      <c r="D11" s="100">
        <f>'Income Statement'!E23/('Balance sheet'!D47-'Balance sheet'!D23)</f>
        <v>0.16374799450520641</v>
      </c>
      <c r="E11" s="100">
        <f>'Income Statement'!F23/('Balance sheet'!E47-'Balance sheet'!E23)</f>
        <v>0.1817174018935428</v>
      </c>
      <c r="F11" s="100">
        <f>'Income Statement'!G23/('Balance sheet'!F47-'Balance sheet'!F23)</f>
        <v>0.18789262103780471</v>
      </c>
    </row>
    <row r="12" spans="1:6" ht="15.75" customHeight="1">
      <c r="A12" s="105"/>
    </row>
    <row r="13" spans="1:6" ht="15.75" customHeight="1">
      <c r="A13" s="108" t="s">
        <v>217</v>
      </c>
    </row>
    <row r="14" spans="1:6" ht="15.75" customHeight="1">
      <c r="A14" s="105"/>
    </row>
    <row r="15" spans="1:6" ht="15.75" customHeight="1">
      <c r="A15" s="125" t="s">
        <v>218</v>
      </c>
      <c r="B15" s="113">
        <f>'Balance sheet'!B45/'Balance sheet'!B23</f>
        <v>0.70844033752178304</v>
      </c>
      <c r="C15" s="113">
        <f>'Balance sheet'!C45/'Balance sheet'!C23</f>
        <v>1.0238945982720666</v>
      </c>
      <c r="D15" s="113">
        <f>'Balance sheet'!D45/'Balance sheet'!D23</f>
        <v>0.89074464258183872</v>
      </c>
      <c r="E15" s="113">
        <f>'Balance sheet'!E45/'Balance sheet'!E23</f>
        <v>0.74409627371773912</v>
      </c>
      <c r="F15" s="113">
        <f>'Balance sheet'!F45/'Balance sheet'!F23</f>
        <v>0.85222237933634992</v>
      </c>
    </row>
    <row r="16" spans="1:6" ht="15.75" customHeight="1">
      <c r="A16" s="126" t="s">
        <v>219</v>
      </c>
      <c r="B16" s="113">
        <f>('Balance sheet'!B45-'Balance sheet'!B40)/'Balance sheet'!B23</f>
        <v>0.38424057598826011</v>
      </c>
      <c r="C16" s="113">
        <f>('Balance sheet'!C45-'Balance sheet'!C40)/'Balance sheet'!C23</f>
        <v>0.48378817881124375</v>
      </c>
      <c r="D16" s="113">
        <f>('Balance sheet'!D45-'Balance sheet'!D40)/'Balance sheet'!D23</f>
        <v>0.33146615961765763</v>
      </c>
      <c r="E16" s="113">
        <f>('Balance sheet'!E45-'Balance sheet'!E40)/'Balance sheet'!E23</f>
        <v>0.22507462056890934</v>
      </c>
      <c r="F16" s="113">
        <f>('Balance sheet'!F45-'Balance sheet'!F40)/'Balance sheet'!F23</f>
        <v>0.25727045625942685</v>
      </c>
    </row>
    <row r="17" spans="1:6" ht="15.75" customHeight="1">
      <c r="A17" s="109"/>
    </row>
    <row r="18" spans="1:6" ht="15.75" customHeight="1">
      <c r="A18" s="108" t="s">
        <v>220</v>
      </c>
    </row>
    <row r="19" spans="1:6" ht="15.75" customHeight="1">
      <c r="A19" s="105"/>
    </row>
    <row r="20" spans="1:6" ht="15.75" customHeight="1">
      <c r="A20" s="127" t="s">
        <v>208</v>
      </c>
      <c r="B20" s="111">
        <f>'Balance sheet'!B25/'Balance sheet'!B4</f>
        <v>142.12687813021702</v>
      </c>
      <c r="C20" s="111">
        <f>'Balance sheet'!C25/'Balance sheet'!C4</f>
        <v>137.87633087633088</v>
      </c>
      <c r="D20" s="111">
        <f>'Balance sheet'!D25/'Balance sheet'!D4</f>
        <v>149.75102375102375</v>
      </c>
      <c r="E20" s="111">
        <f>'Balance sheet'!E25/'Balance sheet'!E4</f>
        <v>145.11618589743588</v>
      </c>
      <c r="F20" s="111">
        <f>'Balance sheet'!F25/'Balance sheet'!F4</f>
        <v>150.65757818765036</v>
      </c>
    </row>
    <row r="21" spans="1:6" ht="15.75" customHeight="1">
      <c r="A21" s="124" t="s">
        <v>221</v>
      </c>
      <c r="B21" s="112">
        <f>'Income Statement'!C13/'Balance sheet'!B40</f>
        <v>0.66412051771695313</v>
      </c>
      <c r="C21" s="112">
        <f>'Income Statement'!D13/'Balance sheet'!C40</f>
        <v>0.77466000327707685</v>
      </c>
      <c r="D21" s="112">
        <f>'Income Statement'!E13/'Balance sheet'!D40</f>
        <v>0.94624643940090047</v>
      </c>
      <c r="E21" s="112">
        <f>'Income Statement'!F13/'Balance sheet'!E40</f>
        <v>1.0970331233489128</v>
      </c>
      <c r="F21" s="112">
        <f>'Income Statement'!G13/'Balance sheet'!F40</f>
        <v>1.074470192117251</v>
      </c>
    </row>
    <row r="22" spans="1:6" ht="15.75" customHeight="1">
      <c r="A22" s="126" t="s">
        <v>222</v>
      </c>
    </row>
  </sheetData>
  <conditionalFormatting sqref="A20">
    <cfRule type="colorScale" priority="1">
      <colorScale>
        <cfvo type="min"/>
        <cfvo type="max"/>
        <color rgb="FFFFEF9C"/>
        <color rgb="FF63BE7B"/>
      </colorScale>
    </cfRule>
  </conditionalFormatting>
  <conditionalFormatting sqref="A2:F4">
    <cfRule type="colorScale" priority="3">
      <colorScale>
        <cfvo type="min"/>
        <cfvo type="max"/>
        <color rgb="FFFFEF9C"/>
        <color rgb="FF63BE7B"/>
      </colorScale>
    </cfRule>
  </conditionalFormatting>
  <conditionalFormatting sqref="A8:F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{FA779624-FED4-492D-9FDE-935B345BD290}</x14:id>
        </ext>
      </extLst>
    </cfRule>
  </conditionalFormatting>
  <conditionalFormatting sqref="A15:F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{E5DDF465-0D33-4B1C-9CA3-12A826A4D012}</x14:id>
        </ext>
      </extLst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F21 A21:A22">
    <cfRule type="colorScale" priority="5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79624-FED4-492D-9FDE-935B345BD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A8:F11</xm:sqref>
        </x14:conditionalFormatting>
        <x14:conditionalFormatting xmlns:xm="http://schemas.microsoft.com/office/excel/2006/main">
          <x14:cfRule type="dataBar" id="{E5DDF465-0D33-4B1C-9CA3-12A826A4D0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A15:F16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Income Statement</vt:lpstr>
      <vt:lpstr>Balance sheet</vt:lpstr>
      <vt:lpstr>Cashflow Statement</vt:lpstr>
      <vt:lpstr>PP&amp;E Schedule</vt:lpstr>
      <vt:lpstr>Debt Schedule</vt:lpstr>
      <vt:lpstr>Working Capital Schedule</vt:lpstr>
      <vt:lpstr>Financial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gokul</cp:lastModifiedBy>
  <dcterms:modified xsi:type="dcterms:W3CDTF">2026-02-01T05:33:00Z</dcterms:modified>
</cp:coreProperties>
</file>